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muel.camargo\Downloads\"/>
    </mc:Choice>
  </mc:AlternateContent>
  <xr:revisionPtr revIDLastSave="0" documentId="13_ncr:1_{B2477C20-5E44-4BDA-9593-D8A297136F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IA" sheetId="16" r:id="rId1"/>
    <sheet name="Risk assessment table" sheetId="5" r:id="rId2"/>
    <sheet name="Significância-processo-aspecto" sheetId="13" r:id="rId3"/>
  </sheets>
  <externalReferences>
    <externalReference r:id="rId4"/>
  </externalReferences>
  <definedNames>
    <definedName name="_xlnm._FilterDatabase" localSheetId="0" hidden="1">LAIA!$B$3:$AB$156</definedName>
    <definedName name="_xlnm.Print_Area" localSheetId="0">LAIA!$B$1:$AB$156</definedName>
    <definedName name="_xlnm.Print_Area" localSheetId="1">'Risk assessment table'!$A$1:$DK$35</definedName>
    <definedName name="RussHazard1">[1]Data!$S$4:$S$11</definedName>
  </definedNames>
  <calcPr calcId="191028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54" i="16" l="1"/>
  <c r="AA154" i="16" s="1"/>
  <c r="R154" i="16"/>
  <c r="S154" i="16" s="1"/>
  <c r="Z147" i="16"/>
  <c r="AA147" i="16" s="1"/>
  <c r="R147" i="16"/>
  <c r="S147" i="16" s="1"/>
  <c r="R120" i="16"/>
  <c r="Z89" i="16"/>
  <c r="AA89" i="16" s="1"/>
  <c r="R89" i="16"/>
  <c r="S89" i="16" s="1"/>
  <c r="Z105" i="16"/>
  <c r="AA105" i="16" s="1"/>
  <c r="R105" i="16"/>
  <c r="S105" i="16" s="1"/>
  <c r="Z137" i="16" l="1"/>
  <c r="AA137" i="16" s="1"/>
  <c r="R137" i="16"/>
  <c r="S137" i="16" s="1"/>
  <c r="Z10" i="16"/>
  <c r="AA10" i="16" s="1"/>
  <c r="R10" i="16"/>
  <c r="S10" i="16" s="1"/>
  <c r="S7" i="16"/>
  <c r="S12" i="16"/>
  <c r="S17" i="16"/>
  <c r="S120" i="16"/>
  <c r="AA17" i="16"/>
  <c r="AA120" i="16"/>
  <c r="Z155" i="16"/>
  <c r="AA155" i="16" s="1"/>
  <c r="Z24" i="16"/>
  <c r="AA24" i="16" s="1"/>
  <c r="Z25" i="16"/>
  <c r="AA25" i="16" s="1"/>
  <c r="Z26" i="16"/>
  <c r="AA26" i="16" s="1"/>
  <c r="Z27" i="16"/>
  <c r="AA27" i="16" s="1"/>
  <c r="Z28" i="16"/>
  <c r="AA28" i="16" s="1"/>
  <c r="Z29" i="16"/>
  <c r="AA29" i="16" s="1"/>
  <c r="Z30" i="16"/>
  <c r="AA30" i="16" s="1"/>
  <c r="Z31" i="16"/>
  <c r="AA31" i="16" s="1"/>
  <c r="Z32" i="16"/>
  <c r="AA32" i="16" s="1"/>
  <c r="Z33" i="16"/>
  <c r="AA33" i="16" s="1"/>
  <c r="Z34" i="16"/>
  <c r="AA34" i="16" s="1"/>
  <c r="Z35" i="16"/>
  <c r="AA35" i="16" s="1"/>
  <c r="Z36" i="16"/>
  <c r="AA36" i="16" s="1"/>
  <c r="Z37" i="16"/>
  <c r="AA37" i="16" s="1"/>
  <c r="Z4" i="16"/>
  <c r="AA4" i="16" s="1"/>
  <c r="Z5" i="16"/>
  <c r="AA5" i="16" s="1"/>
  <c r="Z6" i="16"/>
  <c r="AA6" i="16" s="1"/>
  <c r="Z7" i="16"/>
  <c r="AA7" i="16" s="1"/>
  <c r="Z8" i="16"/>
  <c r="AA8" i="16" s="1"/>
  <c r="Z9" i="16"/>
  <c r="AA9" i="16" s="1"/>
  <c r="Z11" i="16"/>
  <c r="AA11" i="16" s="1"/>
  <c r="Z13" i="16"/>
  <c r="AA13" i="16" s="1"/>
  <c r="Z14" i="16"/>
  <c r="AA14" i="16" s="1"/>
  <c r="Z15" i="16"/>
  <c r="AA15" i="16" s="1"/>
  <c r="Z12" i="16"/>
  <c r="AA12" i="16" s="1"/>
  <c r="Z16" i="16"/>
  <c r="AA16" i="16" s="1"/>
  <c r="Z48" i="16"/>
  <c r="AA48" i="16" s="1"/>
  <c r="Z18" i="16"/>
  <c r="AA18" i="16" s="1"/>
  <c r="Z19" i="16"/>
  <c r="AA19" i="16" s="1"/>
  <c r="Z49" i="16"/>
  <c r="AA49" i="16" s="1"/>
  <c r="Z52" i="16"/>
  <c r="AA52" i="16" s="1"/>
  <c r="Z50" i="16"/>
  <c r="AA50" i="16" s="1"/>
  <c r="Z51" i="16"/>
  <c r="AA51" i="16" s="1"/>
  <c r="Z38" i="16"/>
  <c r="AA38" i="16" s="1"/>
  <c r="Z39" i="16"/>
  <c r="AA39" i="16" s="1"/>
  <c r="Z40" i="16"/>
  <c r="AA40" i="16" s="1"/>
  <c r="Z41" i="16"/>
  <c r="AA41" i="16" s="1"/>
  <c r="Z42" i="16"/>
  <c r="AA42" i="16" s="1"/>
  <c r="Z43" i="16"/>
  <c r="AA43" i="16" s="1"/>
  <c r="Z44" i="16"/>
  <c r="AA44" i="16" s="1"/>
  <c r="Z45" i="16"/>
  <c r="AA45" i="16" s="1"/>
  <c r="Z133" i="16"/>
  <c r="AA133" i="16" s="1"/>
  <c r="Z134" i="16"/>
  <c r="AA134" i="16" s="1"/>
  <c r="Z135" i="16"/>
  <c r="AA135" i="16" s="1"/>
  <c r="Z136" i="16"/>
  <c r="AA136" i="16" s="1"/>
  <c r="Z138" i="16"/>
  <c r="AA138" i="16" s="1"/>
  <c r="Z20" i="16"/>
  <c r="AA20" i="16" s="1"/>
  <c r="Z21" i="16"/>
  <c r="AA21" i="16" s="1"/>
  <c r="Z22" i="16"/>
  <c r="AA22" i="16" s="1"/>
  <c r="Z23" i="16"/>
  <c r="AA23" i="16" s="1"/>
  <c r="Z53" i="16"/>
  <c r="AA53" i="16" s="1"/>
  <c r="Z54" i="16"/>
  <c r="AA54" i="16" s="1"/>
  <c r="Z139" i="16"/>
  <c r="AA139" i="16" s="1"/>
  <c r="Z55" i="16"/>
  <c r="AA55" i="16" s="1"/>
  <c r="Z56" i="16"/>
  <c r="AA56" i="16" s="1"/>
  <c r="Z57" i="16"/>
  <c r="AA57" i="16" s="1"/>
  <c r="Z58" i="16"/>
  <c r="AA58" i="16" s="1"/>
  <c r="Z59" i="16"/>
  <c r="AA59" i="16" s="1"/>
  <c r="Z64" i="16"/>
  <c r="AA64" i="16" s="1"/>
  <c r="Z65" i="16"/>
  <c r="AA65" i="16" s="1"/>
  <c r="Z66" i="16"/>
  <c r="AA66" i="16" s="1"/>
  <c r="Z61" i="16"/>
  <c r="AA61" i="16" s="1"/>
  <c r="Z67" i="16"/>
  <c r="AA67" i="16" s="1"/>
  <c r="Z68" i="16"/>
  <c r="AA68" i="16" s="1"/>
  <c r="Z69" i="16"/>
  <c r="AA69" i="16" s="1"/>
  <c r="Z70" i="16"/>
  <c r="AA70" i="16" s="1"/>
  <c r="Z71" i="16"/>
  <c r="AA71" i="16" s="1"/>
  <c r="Z72" i="16"/>
  <c r="AA72" i="16" s="1"/>
  <c r="Z73" i="16"/>
  <c r="AA73" i="16" s="1"/>
  <c r="Z74" i="16"/>
  <c r="AA74" i="16" s="1"/>
  <c r="Z75" i="16"/>
  <c r="AA75" i="16" s="1"/>
  <c r="Z76" i="16"/>
  <c r="AA76" i="16" s="1"/>
  <c r="Z77" i="16"/>
  <c r="AA77" i="16" s="1"/>
  <c r="Z78" i="16"/>
  <c r="AA78" i="16" s="1"/>
  <c r="Z79" i="16"/>
  <c r="AA79" i="16" s="1"/>
  <c r="Z80" i="16"/>
  <c r="AA80" i="16" s="1"/>
  <c r="Z81" i="16"/>
  <c r="AA81" i="16" s="1"/>
  <c r="Z82" i="16"/>
  <c r="AA82" i="16" s="1"/>
  <c r="Z83" i="16"/>
  <c r="AA83" i="16" s="1"/>
  <c r="Z84" i="16"/>
  <c r="AA84" i="16" s="1"/>
  <c r="Z85" i="16"/>
  <c r="AA85" i="16" s="1"/>
  <c r="Z86" i="16"/>
  <c r="AA86" i="16" s="1"/>
  <c r="Z87" i="16"/>
  <c r="AA87" i="16" s="1"/>
  <c r="Z92" i="16"/>
  <c r="AA92" i="16" s="1"/>
  <c r="Z93" i="16"/>
  <c r="AA93" i="16" s="1"/>
  <c r="Z94" i="16"/>
  <c r="AA94" i="16" s="1"/>
  <c r="Z95" i="16"/>
  <c r="AA95" i="16" s="1"/>
  <c r="Z96" i="16"/>
  <c r="AA96" i="16" s="1"/>
  <c r="Z97" i="16"/>
  <c r="AA97" i="16" s="1"/>
  <c r="Z98" i="16"/>
  <c r="AA98" i="16" s="1"/>
  <c r="Z99" i="16"/>
  <c r="AA99" i="16" s="1"/>
  <c r="Z100" i="16"/>
  <c r="AA100" i="16" s="1"/>
  <c r="Z101" i="16"/>
  <c r="AA101" i="16" s="1"/>
  <c r="Z102" i="16"/>
  <c r="AA102" i="16" s="1"/>
  <c r="Z103" i="16"/>
  <c r="AA103" i="16" s="1"/>
  <c r="Z104" i="16"/>
  <c r="AA104" i="16" s="1"/>
  <c r="Z62" i="16"/>
  <c r="AA62" i="16" s="1"/>
  <c r="Z63" i="16"/>
  <c r="AA63" i="16" s="1"/>
  <c r="Z109" i="16"/>
  <c r="AA109" i="16" s="1"/>
  <c r="Z110" i="16"/>
  <c r="AA110" i="16" s="1"/>
  <c r="Z111" i="16"/>
  <c r="AA111" i="16" s="1"/>
  <c r="Z112" i="16"/>
  <c r="AA112" i="16" s="1"/>
  <c r="Z113" i="16"/>
  <c r="AA113" i="16" s="1"/>
  <c r="Z114" i="16"/>
  <c r="AA114" i="16" s="1"/>
  <c r="Z88" i="16"/>
  <c r="AA88" i="16" s="1"/>
  <c r="Z90" i="16"/>
  <c r="AA90" i="16" s="1"/>
  <c r="Z91" i="16"/>
  <c r="AA91" i="16" s="1"/>
  <c r="Z121" i="16"/>
  <c r="AA121" i="16" s="1"/>
  <c r="Z122" i="16"/>
  <c r="AA122" i="16" s="1"/>
  <c r="Z123" i="16"/>
  <c r="AA123" i="16" s="1"/>
  <c r="Z116" i="16"/>
  <c r="AA116" i="16" s="1"/>
  <c r="Z117" i="16"/>
  <c r="AA117" i="16" s="1"/>
  <c r="Z118" i="16"/>
  <c r="AA118" i="16" s="1"/>
  <c r="Z119" i="16"/>
  <c r="AA119" i="16" s="1"/>
  <c r="Z124" i="16"/>
  <c r="AA124" i="16" s="1"/>
  <c r="Z125" i="16"/>
  <c r="AA125" i="16" s="1"/>
  <c r="Z126" i="16"/>
  <c r="AA126" i="16" s="1"/>
  <c r="Z129" i="16"/>
  <c r="AA129" i="16" s="1"/>
  <c r="Z130" i="16"/>
  <c r="AA130" i="16" s="1"/>
  <c r="Z140" i="16"/>
  <c r="AA140" i="16" s="1"/>
  <c r="Z141" i="16"/>
  <c r="AA141" i="16" s="1"/>
  <c r="Z142" i="16"/>
  <c r="AA142" i="16" s="1"/>
  <c r="Z143" i="16"/>
  <c r="AA143" i="16" s="1"/>
  <c r="Z144" i="16"/>
  <c r="AA144" i="16" s="1"/>
  <c r="Z145" i="16"/>
  <c r="AA145" i="16" s="1"/>
  <c r="Z146" i="16"/>
  <c r="AA146" i="16" s="1"/>
  <c r="Z148" i="16"/>
  <c r="AA148" i="16" s="1"/>
  <c r="Z156" i="16"/>
  <c r="AA156" i="16" s="1"/>
  <c r="Z149" i="16"/>
  <c r="AA149" i="16" s="1"/>
  <c r="Z150" i="16"/>
  <c r="AA150" i="16" s="1"/>
  <c r="Z151" i="16"/>
  <c r="AA151" i="16" s="1"/>
  <c r="Z152" i="16"/>
  <c r="AA152" i="16" s="1"/>
  <c r="Z153" i="16"/>
  <c r="AA153" i="16" s="1"/>
  <c r="Z115" i="16"/>
  <c r="AA115" i="16" s="1"/>
  <c r="Z106" i="16"/>
  <c r="AA106" i="16" s="1"/>
  <c r="Z107" i="16"/>
  <c r="AA107" i="16" s="1"/>
  <c r="Z108" i="16"/>
  <c r="AA108" i="16" s="1"/>
  <c r="Z127" i="16"/>
  <c r="AA127" i="16" s="1"/>
  <c r="Z128" i="16"/>
  <c r="AA128" i="16" s="1"/>
  <c r="Z131" i="16"/>
  <c r="AA131" i="16" s="1"/>
  <c r="Z132" i="16"/>
  <c r="AA132" i="16" s="1"/>
  <c r="R132" i="16"/>
  <c r="S132" i="16" s="1"/>
  <c r="R131" i="16"/>
  <c r="S131" i="16" s="1"/>
  <c r="R115" i="16"/>
  <c r="S115" i="16" s="1"/>
  <c r="R106" i="16"/>
  <c r="S106" i="16" s="1"/>
  <c r="R107" i="16"/>
  <c r="S107" i="16" s="1"/>
  <c r="R108" i="16"/>
  <c r="S108" i="16" s="1"/>
  <c r="R127" i="16"/>
  <c r="S127" i="16" s="1"/>
  <c r="R128" i="16"/>
  <c r="S128" i="16" s="1"/>
  <c r="R155" i="16" l="1"/>
  <c r="S155" i="16" s="1"/>
  <c r="Z47" i="16"/>
  <c r="AA47" i="16" s="1"/>
  <c r="R47" i="16"/>
  <c r="S47" i="16" s="1"/>
  <c r="Z46" i="16"/>
  <c r="AA46" i="16" s="1"/>
  <c r="R46" i="16"/>
  <c r="S46" i="16" s="1"/>
  <c r="R124" i="16"/>
  <c r="S124" i="16" s="1"/>
  <c r="R121" i="16"/>
  <c r="S121" i="16" s="1"/>
  <c r="R122" i="16"/>
  <c r="S122" i="16" s="1"/>
  <c r="R123" i="16"/>
  <c r="S123" i="16" s="1"/>
  <c r="R50" i="16" l="1"/>
  <c r="S50" i="16" s="1"/>
  <c r="R52" i="16" l="1"/>
  <c r="S52" i="16" s="1"/>
  <c r="R18" i="16" l="1"/>
  <c r="S18" i="16" s="1"/>
  <c r="R48" i="16" l="1"/>
  <c r="S48" i="16" s="1"/>
  <c r="R24" i="16" l="1"/>
  <c r="S24" i="16" s="1"/>
  <c r="R25" i="16"/>
  <c r="S25" i="16" s="1"/>
  <c r="R26" i="16"/>
  <c r="S26" i="16" s="1"/>
  <c r="R27" i="16"/>
  <c r="S27" i="16" s="1"/>
  <c r="R28" i="16"/>
  <c r="S28" i="16" s="1"/>
  <c r="R29" i="16"/>
  <c r="S29" i="16" s="1"/>
  <c r="R30" i="16"/>
  <c r="S30" i="16" s="1"/>
  <c r="R31" i="16"/>
  <c r="S31" i="16" s="1"/>
  <c r="R32" i="16"/>
  <c r="S32" i="16" s="1"/>
  <c r="R33" i="16"/>
  <c r="S33" i="16" s="1"/>
  <c r="R34" i="16"/>
  <c r="S34" i="16" s="1"/>
  <c r="R35" i="16"/>
  <c r="S35" i="16" s="1"/>
  <c r="R36" i="16"/>
  <c r="S36" i="16" s="1"/>
  <c r="R37" i="16"/>
  <c r="S37" i="16" s="1"/>
  <c r="R4" i="16"/>
  <c r="S4" i="16" s="1"/>
  <c r="R5" i="16"/>
  <c r="S5" i="16" s="1"/>
  <c r="R6" i="16"/>
  <c r="S6" i="16" s="1"/>
  <c r="R8" i="16"/>
  <c r="S8" i="16" s="1"/>
  <c r="R9" i="16"/>
  <c r="S9" i="16" s="1"/>
  <c r="R11" i="16"/>
  <c r="S11" i="16" s="1"/>
  <c r="R13" i="16"/>
  <c r="S13" i="16" s="1"/>
  <c r="R14" i="16"/>
  <c r="S14" i="16" s="1"/>
  <c r="R15" i="16"/>
  <c r="S15" i="16" s="1"/>
  <c r="R16" i="16"/>
  <c r="S16" i="16" s="1"/>
  <c r="R19" i="16"/>
  <c r="S19" i="16" s="1"/>
  <c r="R49" i="16"/>
  <c r="S49" i="16" s="1"/>
  <c r="R51" i="16"/>
  <c r="S51" i="16" s="1"/>
  <c r="R38" i="16"/>
  <c r="S38" i="16" s="1"/>
  <c r="R39" i="16"/>
  <c r="S39" i="16" s="1"/>
  <c r="R40" i="16"/>
  <c r="S40" i="16" s="1"/>
  <c r="R41" i="16"/>
  <c r="S41" i="16" s="1"/>
  <c r="R42" i="16"/>
  <c r="S42" i="16" s="1"/>
  <c r="R43" i="16"/>
  <c r="S43" i="16" s="1"/>
  <c r="R44" i="16"/>
  <c r="S44" i="16" s="1"/>
  <c r="R45" i="16"/>
  <c r="S45" i="16" s="1"/>
  <c r="R133" i="16"/>
  <c r="S133" i="16" s="1"/>
  <c r="R134" i="16"/>
  <c r="S134" i="16" s="1"/>
  <c r="R135" i="16"/>
  <c r="S135" i="16" s="1"/>
  <c r="R136" i="16"/>
  <c r="S136" i="16" s="1"/>
  <c r="R138" i="16"/>
  <c r="S138" i="16" s="1"/>
  <c r="R20" i="16"/>
  <c r="S20" i="16" s="1"/>
  <c r="R21" i="16"/>
  <c r="S21" i="16" s="1"/>
  <c r="R22" i="16"/>
  <c r="S22" i="16" s="1"/>
  <c r="R23" i="16"/>
  <c r="S23" i="16" s="1"/>
  <c r="R53" i="16"/>
  <c r="S53" i="16" s="1"/>
  <c r="R54" i="16"/>
  <c r="S54" i="16" s="1"/>
  <c r="R139" i="16"/>
  <c r="S139" i="16" s="1"/>
  <c r="R55" i="16"/>
  <c r="S55" i="16" s="1"/>
  <c r="R56" i="16"/>
  <c r="S56" i="16" s="1"/>
  <c r="R57" i="16"/>
  <c r="S57" i="16" s="1"/>
  <c r="R58" i="16"/>
  <c r="S58" i="16" s="1"/>
  <c r="R59" i="16"/>
  <c r="S59" i="16" s="1"/>
  <c r="R64" i="16"/>
  <c r="S64" i="16" s="1"/>
  <c r="R65" i="16"/>
  <c r="S65" i="16" s="1"/>
  <c r="R66" i="16"/>
  <c r="S66" i="16" s="1"/>
  <c r="R61" i="16"/>
  <c r="S61" i="16" s="1"/>
  <c r="R67" i="16"/>
  <c r="S67" i="16" s="1"/>
  <c r="R68" i="16"/>
  <c r="S68" i="16" s="1"/>
  <c r="R69" i="16"/>
  <c r="S69" i="16" s="1"/>
  <c r="R70" i="16"/>
  <c r="S70" i="16" s="1"/>
  <c r="R71" i="16"/>
  <c r="S71" i="16" s="1"/>
  <c r="R72" i="16"/>
  <c r="S72" i="16" s="1"/>
  <c r="R73" i="16"/>
  <c r="S73" i="16" s="1"/>
  <c r="R74" i="16"/>
  <c r="S74" i="16" s="1"/>
  <c r="R75" i="16"/>
  <c r="S75" i="16" s="1"/>
  <c r="R76" i="16"/>
  <c r="S76" i="16" s="1"/>
  <c r="R77" i="16"/>
  <c r="S77" i="16" s="1"/>
  <c r="R78" i="16"/>
  <c r="S78" i="16" s="1"/>
  <c r="R79" i="16"/>
  <c r="S79" i="16" s="1"/>
  <c r="R80" i="16"/>
  <c r="S80" i="16" s="1"/>
  <c r="R81" i="16"/>
  <c r="S81" i="16" s="1"/>
  <c r="R82" i="16"/>
  <c r="S82" i="16" s="1"/>
  <c r="R83" i="16"/>
  <c r="S83" i="16" s="1"/>
  <c r="R84" i="16"/>
  <c r="S84" i="16" s="1"/>
  <c r="R85" i="16"/>
  <c r="S85" i="16" s="1"/>
  <c r="R86" i="16"/>
  <c r="S86" i="16" s="1"/>
  <c r="R87" i="16"/>
  <c r="S87" i="16" s="1"/>
  <c r="R92" i="16"/>
  <c r="S92" i="16" s="1"/>
  <c r="R93" i="16"/>
  <c r="S93" i="16" s="1"/>
  <c r="R94" i="16"/>
  <c r="S94" i="16" s="1"/>
  <c r="R95" i="16"/>
  <c r="S95" i="16" s="1"/>
  <c r="R96" i="16"/>
  <c r="S96" i="16" s="1"/>
  <c r="R97" i="16"/>
  <c r="S97" i="16" s="1"/>
  <c r="R98" i="16"/>
  <c r="S98" i="16" s="1"/>
  <c r="R99" i="16"/>
  <c r="S99" i="16" s="1"/>
  <c r="R100" i="16"/>
  <c r="S100" i="16" s="1"/>
  <c r="R101" i="16"/>
  <c r="S101" i="16" s="1"/>
  <c r="R102" i="16"/>
  <c r="S102" i="16" s="1"/>
  <c r="R103" i="16"/>
  <c r="S103" i="16" s="1"/>
  <c r="R104" i="16"/>
  <c r="S104" i="16" s="1"/>
  <c r="R62" i="16"/>
  <c r="S62" i="16" s="1"/>
  <c r="R63" i="16"/>
  <c r="S63" i="16" s="1"/>
  <c r="R109" i="16"/>
  <c r="S109" i="16" s="1"/>
  <c r="R110" i="16"/>
  <c r="S110" i="16" s="1"/>
  <c r="R111" i="16"/>
  <c r="S111" i="16" s="1"/>
  <c r="R112" i="16"/>
  <c r="S112" i="16" s="1"/>
  <c r="R113" i="16"/>
  <c r="S113" i="16" s="1"/>
  <c r="R114" i="16"/>
  <c r="S114" i="16" s="1"/>
  <c r="R88" i="16"/>
  <c r="S88" i="16" s="1"/>
  <c r="R90" i="16"/>
  <c r="S90" i="16" s="1"/>
  <c r="R91" i="16"/>
  <c r="S91" i="16" s="1"/>
  <c r="R116" i="16"/>
  <c r="S116" i="16" s="1"/>
  <c r="R117" i="16"/>
  <c r="S117" i="16" s="1"/>
  <c r="R118" i="16"/>
  <c r="S118" i="16" s="1"/>
  <c r="R119" i="16"/>
  <c r="S119" i="16" s="1"/>
  <c r="R125" i="16"/>
  <c r="S125" i="16" s="1"/>
  <c r="R126" i="16"/>
  <c r="S126" i="16" s="1"/>
  <c r="R129" i="16"/>
  <c r="S129" i="16" s="1"/>
  <c r="R130" i="16"/>
  <c r="S130" i="16" s="1"/>
  <c r="R140" i="16"/>
  <c r="S140" i="16" s="1"/>
  <c r="R141" i="16"/>
  <c r="S141" i="16" s="1"/>
  <c r="R142" i="16"/>
  <c r="S142" i="16" s="1"/>
  <c r="R143" i="16"/>
  <c r="S143" i="16" s="1"/>
  <c r="R144" i="16"/>
  <c r="S144" i="16" s="1"/>
  <c r="R145" i="16"/>
  <c r="S145" i="16" s="1"/>
  <c r="R146" i="16"/>
  <c r="S146" i="16" s="1"/>
  <c r="R148" i="16"/>
  <c r="S148" i="16" s="1"/>
  <c r="R156" i="16"/>
  <c r="S156" i="16" s="1"/>
  <c r="R149" i="16"/>
  <c r="S149" i="16" s="1"/>
  <c r="R150" i="16"/>
  <c r="S150" i="16" s="1"/>
  <c r="R151" i="16"/>
  <c r="S151" i="16" s="1"/>
  <c r="R152" i="16"/>
  <c r="S152" i="16" s="1"/>
  <c r="R153" i="16"/>
  <c r="S153" i="16" s="1"/>
  <c r="S4" i="5" l="1"/>
  <c r="M4" i="5"/>
  <c r="F4" i="5"/>
  <c r="F24" i="5" l="1"/>
  <c r="F32" i="5" s="1"/>
  <c r="S35" i="5" l="1"/>
  <c r="F30" i="5"/>
  <c r="S30" i="5"/>
  <c r="F26" i="5"/>
  <c r="F35" i="5"/>
  <c r="S26" i="5"/>
  <c r="S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Andréa</author>
    <author>Fábio</author>
  </authors>
  <commentList>
    <comment ref="H3" authorId="0" shapeId="0" xr:uid="{E66A52BD-01E2-4BB2-A0C8-3DB1B46A3312}">
      <text>
        <r>
          <rPr>
            <b/>
            <sz val="9"/>
            <color indexed="81"/>
            <rFont val="Segoe UI"/>
            <family val="2"/>
          </rPr>
          <t xml:space="preserve">Andréa:
Normal (N) </t>
        </r>
        <r>
          <rPr>
            <sz val="9"/>
            <color indexed="81"/>
            <rFont val="Segoe UI"/>
            <family val="2"/>
          </rPr>
          <t>Situação de ocorrência das atividades e/ou operações sem imprevistos ou emergências, consideradas como operação de rotina, periódicas.</t>
        </r>
        <r>
          <rPr>
            <b/>
            <sz val="9"/>
            <color indexed="81"/>
            <rFont val="Segoe UI"/>
            <family val="2"/>
          </rPr>
          <t xml:space="preserve">
Anormal (A) </t>
        </r>
        <r>
          <rPr>
            <sz val="9"/>
            <color indexed="81"/>
            <rFont val="Segoe UI"/>
            <family val="2"/>
          </rPr>
          <t>Situação não rotineira ou ocasional, são atividades executadas sem qualquer periodicidade definida,</t>
        </r>
        <r>
          <rPr>
            <b/>
            <sz val="9"/>
            <color indexed="81"/>
            <rFont val="Segoe UI"/>
            <family val="2"/>
          </rPr>
          <t xml:space="preserve">
Emergencial (E) </t>
        </r>
        <r>
          <rPr>
            <sz val="9"/>
            <color indexed="81"/>
            <rFont val="Segoe UI"/>
            <family val="2"/>
          </rPr>
          <t>Situações não desejáveis, decorrentes de falhas, acidentes, incidentes que podem causar impactos ambientais adversos.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3" authorId="0" shapeId="0" xr:uid="{DDE476C1-F339-4A1F-8EEA-1C4087C1F1AA}">
      <text>
        <r>
          <rPr>
            <b/>
            <sz val="9"/>
            <color indexed="81"/>
            <rFont val="Segoe UI"/>
            <family val="2"/>
          </rPr>
          <t>Andréa:</t>
        </r>
        <r>
          <rPr>
            <sz val="9"/>
            <color indexed="81"/>
            <rFont val="Segoe UI"/>
            <family val="2"/>
          </rPr>
          <t xml:space="preserve">
D – Direto: Resultante de atividade da Organização
I – Indireto: Resultante de atividade terceiros (prestadores de serviço, fornecedores de itens, visitantes etc.), sobre os quais a Organização tenha alguma influência.
D/I – Ambos: Atividade compartilhada entre membros da organização e terceiros.
A determinação da incidência se baseia na execução da atividade, e não apenas na eventual incidência dos impactos.
</t>
        </r>
      </text>
    </comment>
    <comment ref="J3" authorId="0" shapeId="0" xr:uid="{C5D905D2-2D09-4578-BCAF-68A3A8AA2C33}">
      <text>
        <r>
          <rPr>
            <b/>
            <sz val="9"/>
            <color indexed="81"/>
            <rFont val="Segoe UI"/>
            <family val="2"/>
          </rPr>
          <t>Andréa:</t>
        </r>
        <r>
          <rPr>
            <sz val="9"/>
            <color indexed="81"/>
            <rFont val="Segoe UI"/>
            <family val="2"/>
          </rPr>
          <t xml:space="preserve">
P -Passado: Aspectos / impactos que tenham se manifestado no passado, cuja identificação é baseada no histórico, em passivos, etc.
A - Atual: Aspectos / impactos que se manifestam ou podem ocorrer no momento presente.
F - Futuro (&lt;1 ano): Aspectos / impactos referentes a empreendimentos futuros em prazo menor que 1 (um) ano. Impactos que possam se manifestar em prazo superior ao estabelecido não necessitam ser avaliados conforme este procedimento, mas sim em no Gerenciamento de mudanças.
</t>
        </r>
      </text>
    </comment>
    <comment ref="K3" authorId="0" shapeId="0" xr:uid="{BFCC935D-75A9-4247-A7BD-99B61F73ABFF}">
      <text>
        <r>
          <rPr>
            <b/>
            <sz val="9"/>
            <color indexed="81"/>
            <rFont val="Segoe UI"/>
            <family val="2"/>
          </rPr>
          <t>Andréa: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A - Adverso –</t>
        </r>
        <r>
          <rPr>
            <sz val="9"/>
            <color indexed="81"/>
            <rFont val="Segoe UI"/>
            <family val="2"/>
          </rPr>
          <t xml:space="preserve"> casos de efeito negativo sob enfoque ambiental em que é requerido controle para evitar, monitorar ou atenuar sua manifestação; ou
</t>
        </r>
        <r>
          <rPr>
            <b/>
            <sz val="9"/>
            <color indexed="81"/>
            <rFont val="Segoe UI"/>
            <family val="2"/>
          </rPr>
          <t xml:space="preserve">B - Benéfico </t>
        </r>
        <r>
          <rPr>
            <sz val="9"/>
            <color indexed="81"/>
            <rFont val="Segoe UI"/>
            <family val="2"/>
          </rPr>
          <t xml:space="preserve">– para esses casos, de efeito positivo sob enfoque ambiental, não se aplicam os critérios de avaliação (POTENCIAL e REAL) e indica-se como OPORTUNIDADE (O).
</t>
        </r>
      </text>
    </comment>
    <comment ref="L3" authorId="0" shapeId="0" xr:uid="{C3DA1028-76CA-4CCB-B3EA-1129FF4FF143}">
      <text>
        <r>
          <rPr>
            <b/>
            <sz val="9"/>
            <color indexed="81"/>
            <rFont val="Segoe UI"/>
            <family val="2"/>
          </rPr>
          <t>Andréa: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R - Risco</t>
        </r>
        <r>
          <rPr>
            <sz val="9"/>
            <color indexed="81"/>
            <rFont val="Segoe UI"/>
            <family val="2"/>
          </rPr>
          <t xml:space="preserve"> considerando as consequências na condição POTENCIAL (sem controles aplicados); e/ou
</t>
        </r>
        <r>
          <rPr>
            <b/>
            <sz val="9"/>
            <color indexed="81"/>
            <rFont val="Segoe UI"/>
            <family val="2"/>
          </rPr>
          <t>O - Oportunidade</t>
        </r>
        <r>
          <rPr>
            <sz val="9"/>
            <color indexed="81"/>
            <rFont val="Segoe UI"/>
            <family val="2"/>
          </rPr>
          <t xml:space="preserve"> em função da análise sobre os resultados observados na condição REAL que considera a aplicação de CONTROLE OPERACIONAL ou da definição de OBJETIVOS, METAS, PROGRAMAS em andamento.  São situações que trarão benefícios ao SGA, JDE e Partes interessadas.
</t>
        </r>
      </text>
    </comment>
    <comment ref="M3" authorId="0" shapeId="0" xr:uid="{8A316890-10F0-4350-A913-8241AA5420F5}">
      <text>
        <r>
          <rPr>
            <b/>
            <sz val="9"/>
            <color indexed="81"/>
            <rFont val="Segoe UI"/>
            <family val="2"/>
          </rPr>
          <t>Andréa: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I - Interna (I)</t>
        </r>
        <r>
          <rPr>
            <sz val="9"/>
            <color indexed="81"/>
            <rFont val="Segoe UI"/>
            <family val="2"/>
          </rPr>
          <t xml:space="preserve">: Indica a necessidade de cumprimento de princípios da organização, regras da Matriz, Condutas Corporativas, desdobrada na forma de demanda interna (acionistas, grupo gerencial, funcionários).
</t>
        </r>
        <r>
          <rPr>
            <b/>
            <sz val="9"/>
            <color indexed="81"/>
            <rFont val="Segoe UI"/>
            <family val="2"/>
          </rPr>
          <t>E - Externa (E)</t>
        </r>
        <r>
          <rPr>
            <sz val="9"/>
            <color indexed="81"/>
            <rFont val="Segoe UI"/>
            <family val="2"/>
          </rPr>
          <t xml:space="preserve">: Demanda externa formal como compromissos assumidos com Partes Interessadas Externas, comunidade, clientes, órgãos governamentais e organizações não-governamentais (legislação).
</t>
        </r>
      </text>
    </comment>
    <comment ref="N3" authorId="1" shapeId="0" xr:uid="{67D6FCE9-0897-4568-AF03-732EE4429371}">
      <text>
        <r>
          <rPr>
            <b/>
            <sz val="9"/>
            <color indexed="81"/>
            <rFont val="Segoe UI"/>
            <family val="2"/>
          </rPr>
          <t xml:space="preserve">P - Pontual = </t>
        </r>
        <r>
          <rPr>
            <sz val="9"/>
            <color indexed="81"/>
            <rFont val="Segoe UI"/>
            <family val="2"/>
          </rPr>
          <t>Afeta apenas as instalações da Organização. Impacto percebido no interior da propriedade e das instalações.</t>
        </r>
        <r>
          <rPr>
            <b/>
            <sz val="9"/>
            <color indexed="81"/>
            <rFont val="Segoe UI"/>
            <family val="2"/>
          </rPr>
          <t xml:space="preserve">
L - Local = </t>
        </r>
        <r>
          <rPr>
            <sz val="9"/>
            <color indexed="81"/>
            <rFont val="Segoe UI"/>
            <family val="2"/>
          </rPr>
          <t>Afeta a circunvizinhança das instalações da Organização. Impacto percebido por vizinhos.</t>
        </r>
        <r>
          <rPr>
            <b/>
            <sz val="9"/>
            <color indexed="81"/>
            <rFont val="Segoe UI"/>
            <family val="2"/>
          </rPr>
          <t xml:space="preserve">
R - Regional = </t>
        </r>
        <r>
          <rPr>
            <sz val="9"/>
            <color indexed="81"/>
            <rFont val="Segoe UI"/>
            <family val="2"/>
          </rPr>
          <t xml:space="preserve">Afeta cidades próximas da Unidade. Impacto percebido em localidades não adjacentes.
</t>
        </r>
      </text>
    </comment>
  </commentList>
</comments>
</file>

<file path=xl/sharedStrings.xml><?xml version="1.0" encoding="utf-8"?>
<sst xmlns="http://schemas.openxmlformats.org/spreadsheetml/2006/main" count="2765" uniqueCount="397">
  <si>
    <t>MATRIZ DE ASPECTOS E IMPACTOS AMBIENTAIS</t>
  </si>
  <si>
    <t>SIGNIFICÂNCIA INICIAL</t>
  </si>
  <si>
    <t>CONTROLES</t>
  </si>
  <si>
    <t>OBJETIVOS,
METAS E PROGRAMAS</t>
  </si>
  <si>
    <t>SITUAÇÃO</t>
  </si>
  <si>
    <t>INCIDÊNCIA</t>
  </si>
  <si>
    <t>TEMPORALIDADE</t>
  </si>
  <si>
    <t>CLASSIFICAÇÃO</t>
  </si>
  <si>
    <t>RISCO OU OPORTUNIDADE</t>
  </si>
  <si>
    <t>DEMANDA</t>
  </si>
  <si>
    <t>ABRANGÊNCIA</t>
  </si>
  <si>
    <t>FREQUÊNCIA</t>
  </si>
  <si>
    <t>SEVERIDADE</t>
  </si>
  <si>
    <t>PROBABILIDADE</t>
  </si>
  <si>
    <t>RANKING INICIAL</t>
  </si>
  <si>
    <t>RANKING FINAL</t>
  </si>
  <si>
    <t>ITEM</t>
  </si>
  <si>
    <t>PERSPECTIVA DE CICLO DE VIDA</t>
  </si>
  <si>
    <t>NOME ÁREA/ PROCESSO</t>
  </si>
  <si>
    <t>UNIDADE FABRIL</t>
  </si>
  <si>
    <t>ATIVIDADE</t>
  </si>
  <si>
    <t>ASPECTO</t>
  </si>
  <si>
    <t>IMPACTO</t>
  </si>
  <si>
    <t>PREVENÇÃO</t>
  </si>
  <si>
    <t>MONITORAMENTO</t>
  </si>
  <si>
    <t>MITIGAÇÃO</t>
  </si>
  <si>
    <t>Produção</t>
  </si>
  <si>
    <t xml:space="preserve"> Café cru</t>
  </si>
  <si>
    <t>PIUMHI</t>
  </si>
  <si>
    <t>Risco de incêndio e explosão</t>
  </si>
  <si>
    <t>E</t>
  </si>
  <si>
    <t>D</t>
  </si>
  <si>
    <t>A</t>
  </si>
  <si>
    <t>R</t>
  </si>
  <si>
    <t>I</t>
  </si>
  <si>
    <t>L</t>
  </si>
  <si>
    <t>Emissão de ruído</t>
  </si>
  <si>
    <t>N</t>
  </si>
  <si>
    <t>N/A</t>
  </si>
  <si>
    <t>Zero Reclamações da Vizinhança</t>
  </si>
  <si>
    <t xml:space="preserve">Perda de grãos </t>
  </si>
  <si>
    <t>Cada grão conta</t>
  </si>
  <si>
    <t>Vazamento de óleo</t>
  </si>
  <si>
    <t>P</t>
  </si>
  <si>
    <t xml:space="preserve">Amostragem de grãos </t>
  </si>
  <si>
    <t>Descarte de amostras</t>
  </si>
  <si>
    <t>Aterro Zero</t>
  </si>
  <si>
    <t>Descarga de café cru em bags</t>
  </si>
  <si>
    <t>Geração de big bags</t>
  </si>
  <si>
    <t>Emissão de particulados, cinzas ou poeiras</t>
  </si>
  <si>
    <t>Aquisição de matéria-prima e insumos</t>
  </si>
  <si>
    <t>Estacionamento  na área do café cru</t>
  </si>
  <si>
    <t>Peneiramento de grãos  - resíduos de impurezas do café cru</t>
  </si>
  <si>
    <t xml:space="preserve">Uso de sopradores </t>
  </si>
  <si>
    <t>Consumo de energia</t>
  </si>
  <si>
    <t>Troca de óleo dos sopradores</t>
  </si>
  <si>
    <t xml:space="preserve">Geração de resíduo orgânico </t>
  </si>
  <si>
    <t>Recebimento, armazenamento e transporte de Cavaco</t>
  </si>
  <si>
    <t>Descarte de madeira</t>
  </si>
  <si>
    <t>D/I</t>
  </si>
  <si>
    <t xml:space="preserve">Almoxarifado </t>
  </si>
  <si>
    <t>Recebimento de óleo diesel</t>
  </si>
  <si>
    <t>Zero Acidentes Ambientais</t>
  </si>
  <si>
    <t>Derramamento de produto químico</t>
  </si>
  <si>
    <t xml:space="preserve">Entrega e recolhimento de EPI´s e Uniformes </t>
  </si>
  <si>
    <t>Geração de resíduos não recicláveis</t>
  </si>
  <si>
    <t>Geração de resíduo Classe I</t>
  </si>
  <si>
    <t xml:space="preserve">Armazenamento de produtos quimicos </t>
  </si>
  <si>
    <t>Armazenamento de materiais para embalagem</t>
  </si>
  <si>
    <t>Esgotamento de aterros</t>
  </si>
  <si>
    <t>Zero Aterro</t>
  </si>
  <si>
    <t xml:space="preserve">Geração de resíduos recicláveis </t>
  </si>
  <si>
    <t xml:space="preserve">Área de inflamáveis </t>
  </si>
  <si>
    <t>Disposição final</t>
  </si>
  <si>
    <t>Área de Resíduos</t>
  </si>
  <si>
    <t>O</t>
  </si>
  <si>
    <t xml:space="preserve">Separação de resíduos </t>
  </si>
  <si>
    <t>B</t>
  </si>
  <si>
    <t>Área de Película</t>
  </si>
  <si>
    <t>Armazenamento de Película</t>
  </si>
  <si>
    <t>Alteração da qualidade da água e do solo</t>
  </si>
  <si>
    <t xml:space="preserve">Área externa </t>
  </si>
  <si>
    <t>Reuso de água</t>
  </si>
  <si>
    <t>Galpão 2</t>
  </si>
  <si>
    <t>Armazenamento de equipamentos desativados</t>
  </si>
  <si>
    <t>Estacionamento de caminhões para descarga de café e cavaco</t>
  </si>
  <si>
    <t>Galpão 3</t>
  </si>
  <si>
    <t>Manutenção das áreas verdes</t>
  </si>
  <si>
    <t>Geração de resíduo de ajardinamento</t>
  </si>
  <si>
    <t>Atividades de manutenção</t>
  </si>
  <si>
    <t>Redução da disponibilidade de recursos naturais</t>
  </si>
  <si>
    <t>Armazenamento de equipamentos de projeto de engenharia,peças da manutenção e área afins.</t>
  </si>
  <si>
    <t>Empacotamento</t>
  </si>
  <si>
    <t xml:space="preserve">Empacotamento </t>
  </si>
  <si>
    <t>Geração de resíduos de varrição</t>
  </si>
  <si>
    <t xml:space="preserve">Operação das máquinas </t>
  </si>
  <si>
    <t>Descarte de produto em processo</t>
  </si>
  <si>
    <t>Uso de tintas para impressora</t>
  </si>
  <si>
    <t>Teste de Vácuo</t>
  </si>
  <si>
    <t>Consumo de água</t>
  </si>
  <si>
    <t xml:space="preserve">Refrigeração da bobina </t>
  </si>
  <si>
    <t xml:space="preserve">Geral </t>
  </si>
  <si>
    <t xml:space="preserve">Atividades administrativas </t>
  </si>
  <si>
    <t>Consumo de papel</t>
  </si>
  <si>
    <t>Geração de resíduos eletrônicos</t>
  </si>
  <si>
    <t>Geração de EPI contaminado</t>
  </si>
  <si>
    <t>Uso de produto de limpeza</t>
  </si>
  <si>
    <t>Geração de efluentes</t>
  </si>
  <si>
    <t>Consumo de produto químico</t>
  </si>
  <si>
    <t xml:space="preserve">Marcação de quadros brancos - geração de canetas </t>
  </si>
  <si>
    <t>Substituição de hardware</t>
  </si>
  <si>
    <t>Troca de tonner</t>
  </si>
  <si>
    <t xml:space="preserve">Uso de avental e touca descartável </t>
  </si>
  <si>
    <t>Uso de energia elétrica</t>
  </si>
  <si>
    <t>Uso de sanitários</t>
  </si>
  <si>
    <t>Geração de esgoto doméstico</t>
  </si>
  <si>
    <t>Utilização de ar condicionado</t>
  </si>
  <si>
    <t>Emissão de gases e vapores</t>
  </si>
  <si>
    <t>Laboratório</t>
  </si>
  <si>
    <t>Descarte da embalagem do produto</t>
  </si>
  <si>
    <t xml:space="preserve">Geração de borra de café </t>
  </si>
  <si>
    <t xml:space="preserve">Controle de pragas </t>
  </si>
  <si>
    <t>Descarte de produto vencido/devolvido</t>
  </si>
  <si>
    <t>Limpeza Terceirizada</t>
  </si>
  <si>
    <t>Prestação do serviço</t>
  </si>
  <si>
    <t>Limpeza de áreas internas e externas</t>
  </si>
  <si>
    <t>Geração de embalagens contaminadas</t>
  </si>
  <si>
    <t>Recolhimento de resíduos das lixeiras</t>
  </si>
  <si>
    <t>Geração de resíduos classificados</t>
  </si>
  <si>
    <t>Logistica</t>
  </si>
  <si>
    <t xml:space="preserve">Carregamento de caminhões </t>
  </si>
  <si>
    <t>Transporte</t>
  </si>
  <si>
    <t>Tombamento de carga</t>
  </si>
  <si>
    <t xml:space="preserve">Uso e manutenção de empilhadeiras - processo terceirizado - sala de baterias </t>
  </si>
  <si>
    <t>Uso e manutenção de empilhadeiras - processo terceirizado</t>
  </si>
  <si>
    <t>Manutenção preventiva realizada na sala de baterias - uso de óleo hidráulico trazido pelo terceiro</t>
  </si>
  <si>
    <t>Descarte de baterias</t>
  </si>
  <si>
    <t>Geração de resíduos perigosos</t>
  </si>
  <si>
    <t xml:space="preserve">Logistica </t>
  </si>
  <si>
    <t>Geração de embalagens (papelão, filme strech)</t>
  </si>
  <si>
    <t xml:space="preserve">Manutenção </t>
  </si>
  <si>
    <t>Área de lavagem de peças</t>
  </si>
  <si>
    <t>Geração de óleos e graxas</t>
  </si>
  <si>
    <t xml:space="preserve">Limpeza da Caixa de água </t>
  </si>
  <si>
    <t xml:space="preserve">Lubrificação de máquinas </t>
  </si>
  <si>
    <t xml:space="preserve">Manutenção da Subestação </t>
  </si>
  <si>
    <t>Manutenção de ar condicionado</t>
  </si>
  <si>
    <t xml:space="preserve">Manutenção e uso do Gerador </t>
  </si>
  <si>
    <t>Consumo de combustível</t>
  </si>
  <si>
    <t>Emissão de fumaça preta</t>
  </si>
  <si>
    <t xml:space="preserve">Manutenção e uso dos Compressores </t>
  </si>
  <si>
    <t>Geração de lâmpadas de mercúrio</t>
  </si>
  <si>
    <t>Uso da oficina</t>
  </si>
  <si>
    <t>Geração de resíduos de solda</t>
  </si>
  <si>
    <t>Geração de panos contaminados</t>
  </si>
  <si>
    <t>Geração de cavaco e sucata metálica</t>
  </si>
  <si>
    <t>Meio Ambiente</t>
  </si>
  <si>
    <t>Utilização do kit de emergência ambiental</t>
  </si>
  <si>
    <t>Moagem de café</t>
  </si>
  <si>
    <t xml:space="preserve">Moagem dos grãos torrados </t>
  </si>
  <si>
    <t xml:space="preserve">Descarte de partículas metálicas </t>
  </si>
  <si>
    <t xml:space="preserve">Paletização </t>
  </si>
  <si>
    <t>Paletização de produto acabado</t>
  </si>
  <si>
    <t>Consumo de pallets de madeira</t>
  </si>
  <si>
    <t>Consumo de papelão</t>
  </si>
  <si>
    <t xml:space="preserve">Geração de tubetes de PVC </t>
  </si>
  <si>
    <t>Refeitório</t>
  </si>
  <si>
    <t>Limpeza</t>
  </si>
  <si>
    <t>Lavagem de utensílios</t>
  </si>
  <si>
    <t>Uso do local e equipamentos</t>
  </si>
  <si>
    <t>Portaria</t>
  </si>
  <si>
    <t>Portaria / Recepção</t>
  </si>
  <si>
    <t>Recebimento de Produtos Químicos</t>
  </si>
  <si>
    <t xml:space="preserve">Portaria </t>
  </si>
  <si>
    <t xml:space="preserve">Recepção de caminhões </t>
  </si>
  <si>
    <t xml:space="preserve">Preparo de café </t>
  </si>
  <si>
    <t>Responsabilidade Corporativa</t>
  </si>
  <si>
    <t>Torrefação</t>
  </si>
  <si>
    <t>Geração de película</t>
  </si>
  <si>
    <t>Funcionamento dos motores</t>
  </si>
  <si>
    <t xml:space="preserve">Limpeza dos torradores </t>
  </si>
  <si>
    <t>Resfriamento do café</t>
  </si>
  <si>
    <t>Torra do grão</t>
  </si>
  <si>
    <t>Descarte de produto fora de padrão (torra fora)</t>
  </si>
  <si>
    <t>Torrefação, Moagem, Café Cru</t>
  </si>
  <si>
    <t xml:space="preserve">Emissão de odor </t>
  </si>
  <si>
    <t>Funcionamento da fornalha</t>
  </si>
  <si>
    <t>Geração de calor</t>
  </si>
  <si>
    <t>Funcionamento da  fornalha, ciclones</t>
  </si>
  <si>
    <t xml:space="preserve">Torra do Grão - Consumo de cavaco </t>
  </si>
  <si>
    <t>Consumo de madeira</t>
  </si>
  <si>
    <t>Torra do Grão - Consumo de gás</t>
  </si>
  <si>
    <t>Consumo de GLP</t>
  </si>
  <si>
    <t>Alteração da qualidade da água</t>
  </si>
  <si>
    <t>Comercialização de Produtos - Grêmio</t>
  </si>
  <si>
    <t>Espaço Saúde</t>
  </si>
  <si>
    <t xml:space="preserve">Geração de resíduos de serviço de saúde </t>
  </si>
  <si>
    <t>Atendimento ambulatorial</t>
  </si>
  <si>
    <t>Perturbação do conforto da comunidade</t>
  </si>
  <si>
    <t>Uso de gases para solda</t>
  </si>
  <si>
    <t>Alteração da qualidade do ar</t>
  </si>
  <si>
    <t>Pintura eventual de pequenas peças com pincel, revolver ou rolo.</t>
  </si>
  <si>
    <t>Atividades gerais de Manutenção</t>
  </si>
  <si>
    <t>Reprocesso</t>
  </si>
  <si>
    <t>Reprocesso de produto fora de especificação</t>
  </si>
  <si>
    <t>Acúmulo de materiais sem proteção</t>
  </si>
  <si>
    <t>Danos materiais e alteração da qualidade da água, do ar e do solo</t>
  </si>
  <si>
    <t>Incômodo à comunidade</t>
  </si>
  <si>
    <t>Geração de resíduos da construção civil</t>
  </si>
  <si>
    <t>Recolhimento de embalagens do produto</t>
  </si>
  <si>
    <t>Proliferação de vetores e pragas</t>
  </si>
  <si>
    <t>RISK ASSESSMENT TABLE</t>
  </si>
  <si>
    <r>
      <t xml:space="preserve">Based on the kinney  (mathematical risk evaluation) method  :    </t>
    </r>
    <r>
      <rPr>
        <b/>
        <sz val="12"/>
        <color indexed="10"/>
        <rFont val="Arial"/>
        <family val="2"/>
        <charset val="162"/>
      </rPr>
      <t xml:space="preserve">RISK  = </t>
    </r>
    <r>
      <rPr>
        <b/>
        <sz val="12"/>
        <color indexed="30"/>
        <rFont val="Arial"/>
        <family val="2"/>
        <charset val="162"/>
      </rPr>
      <t xml:space="preserve"> POSSIBILITY</t>
    </r>
    <r>
      <rPr>
        <b/>
        <sz val="12"/>
        <color indexed="10"/>
        <rFont val="Arial"/>
        <family val="2"/>
        <charset val="162"/>
      </rPr>
      <t xml:space="preserve"> </t>
    </r>
    <r>
      <rPr>
        <b/>
        <sz val="12"/>
        <rFont val="Arial"/>
        <family val="2"/>
        <charset val="162"/>
      </rPr>
      <t>x</t>
    </r>
    <r>
      <rPr>
        <b/>
        <sz val="12"/>
        <color indexed="10"/>
        <rFont val="Arial"/>
        <family val="2"/>
        <charset val="162"/>
      </rPr>
      <t xml:space="preserve">  </t>
    </r>
    <r>
      <rPr>
        <b/>
        <sz val="12"/>
        <color indexed="17"/>
        <rFont val="Arial"/>
        <family val="2"/>
        <charset val="162"/>
      </rPr>
      <t>FREQUENCY</t>
    </r>
    <r>
      <rPr>
        <b/>
        <sz val="12"/>
        <color indexed="10"/>
        <rFont val="Arial"/>
        <family val="2"/>
        <charset val="162"/>
      </rPr>
      <t xml:space="preserve"> </t>
    </r>
    <r>
      <rPr>
        <b/>
        <sz val="12"/>
        <rFont val="Arial"/>
        <family val="2"/>
        <charset val="162"/>
      </rPr>
      <t xml:space="preserve">x </t>
    </r>
    <r>
      <rPr>
        <b/>
        <sz val="12"/>
        <color indexed="10"/>
        <rFont val="Arial"/>
        <family val="2"/>
        <charset val="162"/>
      </rPr>
      <t xml:space="preserve"> </t>
    </r>
    <r>
      <rPr>
        <b/>
        <sz val="12"/>
        <color indexed="53"/>
        <rFont val="Arial"/>
        <family val="2"/>
        <charset val="162"/>
      </rPr>
      <t>VIOLENCE</t>
    </r>
  </si>
  <si>
    <t xml:space="preserve">
POSSIBILITY
VALUE</t>
  </si>
  <si>
    <t>POSSIBILITY                                probability of loss</t>
  </si>
  <si>
    <t>FREQUENCY
VALUE</t>
  </si>
  <si>
    <r>
      <t>FREQUENCY</t>
    </r>
    <r>
      <rPr>
        <sz val="10"/>
        <color indexed="9"/>
        <rFont val="Arial"/>
        <family val="2"/>
        <charset val="162"/>
      </rPr>
      <t xml:space="preserve">
       repetition of exposure to danger                                        Not Routıne                        Routine</t>
    </r>
  </si>
  <si>
    <t>VIOLENCE
VALUE</t>
  </si>
  <si>
    <r>
      <t xml:space="preserve">IMPACT SEVERETY
</t>
    </r>
    <r>
      <rPr>
        <b/>
        <sz val="10"/>
        <color indexed="9"/>
        <rFont val="Arial"/>
        <family val="2"/>
        <charset val="162"/>
      </rPr>
      <t>estimated harm to human and / or environment</t>
    </r>
  </si>
  <si>
    <t>expected,
exact. Happened at the plant  more than 1 time per year</t>
  </si>
  <si>
    <t>almost constantly</t>
  </si>
  <si>
    <t>several times in an hour</t>
  </si>
  <si>
    <t>Significant impact to ecossystem or population may result possible production stop, fine from the authorities and this Impact on the environment or population can affect the company's reputation</t>
  </si>
  <si>
    <t>high / quite possible. Ever happened at the plant</t>
  </si>
  <si>
    <t>often</t>
  </si>
  <si>
    <t>once a day or
several times</t>
  </si>
  <si>
    <t>Significant impact to ecossystem or population may result in fines or responsible persons punishment by the authorities</t>
  </si>
  <si>
    <t>Possible. Happened in the company more than 1 time per year</t>
  </si>
  <si>
    <t>sometimes</t>
  </si>
  <si>
    <t>once a week or
several times</t>
  </si>
  <si>
    <t xml:space="preserve"> Not significant impact to ecossystem or population but requires the creation of an action plan to prevent or minimize it due to intervention of authorities</t>
  </si>
  <si>
    <t>possible but low. Happened in the food industry more than 1 time per year</t>
  </si>
  <si>
    <t>not often</t>
  </si>
  <si>
    <t>once a month or
several times</t>
  </si>
  <si>
    <t xml:space="preserve"> Not significant impact to ecossystem or population, but it can be prevented immediately</t>
  </si>
  <si>
    <t>unexpected but possible. Ever happened before in the food industry</t>
  </si>
  <si>
    <t xml:space="preserve">rare </t>
  </si>
  <si>
    <t>several a year
times</t>
  </si>
  <si>
    <t>No environmental damage</t>
  </si>
  <si>
    <t>unexpected. Never happened before in fhe ood industry</t>
  </si>
  <si>
    <t xml:space="preserve">
very rare</t>
  </si>
  <si>
    <t>once a year or
less frequently</t>
  </si>
  <si>
    <t>next to impossible / unthinkable</t>
  </si>
  <si>
    <t>RISK VALUE</t>
  </si>
  <si>
    <t xml:space="preserve">
RISK ASSESSMENT RESULT</t>
  </si>
  <si>
    <t>400 &lt; R</t>
  </si>
  <si>
    <r>
      <t xml:space="preserve">significant untolerable risk (extreme risk),
</t>
    </r>
    <r>
      <rPr>
        <b/>
        <sz val="10"/>
        <rFont val="Arial"/>
        <family val="2"/>
      </rPr>
      <t>necessary precautions should be taken immediately or closure of facility, building, environment should be considered</t>
    </r>
  </si>
  <si>
    <r>
      <t xml:space="preserve">200 &lt; R </t>
    </r>
    <r>
      <rPr>
        <b/>
        <sz val="12"/>
        <color theme="0"/>
        <rFont val="Arial Black"/>
        <family val="2"/>
        <charset val="204"/>
      </rPr>
      <t xml:space="preserve">≤ </t>
    </r>
    <r>
      <rPr>
        <b/>
        <sz val="12"/>
        <color theme="0"/>
        <rFont val="Arial"/>
        <family val="2"/>
        <charset val="204"/>
      </rPr>
      <t>400</t>
    </r>
  </si>
  <si>
    <r>
      <t xml:space="preserve">significant very high risk,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Arial"/>
        <family val="2"/>
        <charset val="204"/>
      </rPr>
      <t xml:space="preserve"> should be improved in the short term (within a few days)</t>
    </r>
  </si>
  <si>
    <r>
      <t xml:space="preserve">70 &lt; R </t>
    </r>
    <r>
      <rPr>
        <b/>
        <sz val="12"/>
        <color indexed="9"/>
        <rFont val="Arial Black"/>
        <family val="2"/>
        <charset val="204"/>
      </rPr>
      <t>≤</t>
    </r>
    <r>
      <rPr>
        <b/>
        <sz val="12"/>
        <color indexed="9"/>
        <rFont val="Arial"/>
        <family val="2"/>
      </rPr>
      <t xml:space="preserve"> 200</t>
    </r>
  </si>
  <si>
    <r>
      <t xml:space="preserve">significant based risk (high risk),
</t>
    </r>
    <r>
      <rPr>
        <b/>
        <sz val="12"/>
        <color indexed="8"/>
        <rFont val="Arial"/>
        <family val="2"/>
      </rPr>
      <t>should be improved in the short term (within a few months)</t>
    </r>
  </si>
  <si>
    <r>
      <t xml:space="preserve">21 &lt; R </t>
    </r>
    <r>
      <rPr>
        <b/>
        <sz val="12"/>
        <color indexed="9"/>
        <rFont val="Arial Black"/>
        <family val="2"/>
        <charset val="204"/>
      </rPr>
      <t>≤</t>
    </r>
    <r>
      <rPr>
        <b/>
        <sz val="10.8"/>
        <color indexed="9"/>
        <rFont val="Arial"/>
        <family val="2"/>
      </rPr>
      <t xml:space="preserve"> 70</t>
    </r>
  </si>
  <si>
    <r>
      <t xml:space="preserve">significant risk (medium risk),
</t>
    </r>
    <r>
      <rPr>
        <b/>
        <sz val="12"/>
        <rFont val="Arial"/>
        <family val="2"/>
        <charset val="162"/>
      </rPr>
      <t>should be improved in the long run (during the year)</t>
    </r>
  </si>
  <si>
    <r>
      <t xml:space="preserve">R </t>
    </r>
    <r>
      <rPr>
        <b/>
        <sz val="12"/>
        <color indexed="9"/>
        <rFont val="Arial Black"/>
        <family val="2"/>
        <charset val="204"/>
      </rPr>
      <t>≤</t>
    </r>
    <r>
      <rPr>
        <b/>
        <sz val="12"/>
        <color indexed="9"/>
        <rFont val="Arial"/>
        <family val="2"/>
      </rPr>
      <t xml:space="preserve"> 21</t>
    </r>
  </si>
  <si>
    <r>
      <t xml:space="preserve">insignificant risk (low risk),
</t>
    </r>
    <r>
      <rPr>
        <b/>
        <sz val="12"/>
        <rFont val="Arial"/>
        <family val="2"/>
      </rPr>
      <t>the measure is not a priority</t>
    </r>
  </si>
  <si>
    <t>Soma de RANKING FINAL</t>
  </si>
  <si>
    <t>Total Geral</t>
  </si>
  <si>
    <t>Rótulos de Coluna</t>
  </si>
  <si>
    <t>Rótulos de Linha</t>
  </si>
  <si>
    <t>Área de resíduos</t>
  </si>
  <si>
    <t>Área externa / Galpão</t>
  </si>
  <si>
    <t>RISCO RESIDUAL
(APÓS CONTROLES)</t>
  </si>
  <si>
    <t>Sala Classe I</t>
  </si>
  <si>
    <t>Armazenamento de resíduos perigosos</t>
  </si>
  <si>
    <t>SIGNIFICÂNCIA FINAL</t>
  </si>
  <si>
    <t>Manter os equipamentos, instalações e materiais em condições seguras, com limpeza, manutenção preventiva, controle de fontes de ignição e sistemas de proteção contra incêndio disponíveis.</t>
  </si>
  <si>
    <t>Realizar inspeções visuais periódicas das condições da área, dos equipamentos e dos sistemas de prevenção e combate a incêndio.</t>
  </si>
  <si>
    <t>Acionar o plano de atendimento a emergências, interromper a atividade quando seguro e utilizar os recursos de combate a incêndio disponíveis.</t>
  </si>
  <si>
    <t>Manter equipamentos regulados e em boas condições, adotar enclausuramento ou isolamento acústico quando aplicável e evitar operações ruidosas desnecessárias.</t>
  </si>
  <si>
    <t>Realizar inspeções periódicas e monitoramento de ruído ambiental no perímetro da unidade.</t>
  </si>
  <si>
    <t>Interromper ou ajustar a operação em caso de ruído anormal ou reclamação e providenciar manutenção ou controle acústico adicional.</t>
  </si>
  <si>
    <t>Segregar o resíduo orgânico no ponto de geração, evitar perdas e acondicioná-lo em coletor identificado para destinação ambientalmente adequada.</t>
  </si>
  <si>
    <t>Realizar inspeções periódicas da segregação e do acondicionamento e controlar a quantidade e os comprovantes de destinação.</t>
  </si>
  <si>
    <t>Corrigir descartes inadequados e encaminhar o resíduo para tratamento ou destinação por empresa licenciada, priorizando alternativas ao aterro.</t>
  </si>
  <si>
    <t>Manter equipamentos e veículos em boas condições, realizar manutenção preventiva e executar a atividade em piso impermeável ou com contenção disponível.</t>
  </si>
  <si>
    <t>Realizar inspeções visuais periódicas para identificação de vazamentos e acompanhar as condições dos equipamentos e veículos.</t>
  </si>
  <si>
    <t>Interromper a fonte do vazamento, conter e absorver o produto com o kit de emergência ambiental e destinar os resíduos como perigosos.</t>
  </si>
  <si>
    <t>Segregar o resíduo no ponto de geração, mantê-lo limpo quando aplicável e acondicioná-lo em coletor ou área identificada para reutilização ou reciclagem.</t>
  </si>
  <si>
    <t>Realizar inspeções periódicas da segregação e controlar a quantidade e os comprovantes de destinação.</t>
  </si>
  <si>
    <t>Corrigir misturas ou acondicionamento inadequado e encaminhar o resíduo para reutilização ou reciclagem por empresa licenciada.</t>
  </si>
  <si>
    <t>Manter sistemas de captação e controle de particulados em operação, equipamentos fechados quando aplicável e executar limpeza adequada da área.</t>
  </si>
  <si>
    <t>Realizar inspeções visuais e verificar periodicamente a integridade e a eficiência dos sistemas de captação e retenção de particulados.</t>
  </si>
  <si>
    <t>Interromper ou ajustar a operação em caso de emissão anormal, corrigir a fonte e recolher o material disperso para destinação ambientalmente adequada.</t>
  </si>
  <si>
    <t>Utilizar energia de forma racional, desligar equipamentos ociosos e manter instalações e equipamentos em condições eficientes de operação.</t>
  </si>
  <si>
    <t>Acompanhar periodicamente o consumo de energia e verificar as condições operacionais dos equipamentos.</t>
  </si>
  <si>
    <t>Corrigir desvios de consumo e falhas de eficiência, acionando a manutenção quando necessário.</t>
  </si>
  <si>
    <t>Manter os produtos químicos identificados, fechados, armazenados em área impermeável e com contenção, respeitando a compatibilidade química e mantendo a FDS disponível.</t>
  </si>
  <si>
    <t>Realizar inspeções visuais das embalagens, contenções, identificação, condições de armazenamento e disponibilidade da FDS.</t>
  </si>
  <si>
    <t>Conter o derramamento com o kit de emergência ambiental, impedir que o produto alcance o solo ou a drenagem e destinar os resíduos como perigosos.</t>
  </si>
  <si>
    <t>Segregar o resíduo no ponto de geração, acondicioná-lo em coletor identificado e evitar a mistura com materiais de outras classes.</t>
  </si>
  <si>
    <t>Segregar o resíduo no ponto de geração, acondicioná-lo em recipiente identificado, compatível e fechado e armazená-lo temporariamente em área impermeável e com contenção quando aplicável.</t>
  </si>
  <si>
    <t>Realizar inspeções periódicas do acondicionamento e armazenamento e controlar a quantidade, o transporte e os comprovantes de destinação.</t>
  </si>
  <si>
    <t>Conter eventuais vazamentos, reembalar materiais danificados e encaminhar os resíduos para tratamento e destinação por empresa licenciada.</t>
  </si>
  <si>
    <t>Coletar e direcionar o efluente para o sistema de tratamento ou rede autorizada, mantendo tubulações, caixas e contenções em condições adequadas.</t>
  </si>
  <si>
    <t>Realizar inspeções periódicas, limpeza dos dispositivos e monitoramento da qualidade do efluente quando aplicável.</t>
  </si>
  <si>
    <t>Conter vazamentos ou transbordamentos, interromper o lançamento irregular e providenciar limpeza, manutenção e destinação adequada do material recolhido.</t>
  </si>
  <si>
    <t>Manter a área limpa, organizada e livre do acúmulo de materiais e resíduos, com retirada periódica dos itens sem uso.</t>
  </si>
  <si>
    <t>Realizar inspeções periódicas de organização, limpeza e presença de vetores ou pragas.</t>
  </si>
  <si>
    <t>Remover imediatamente os materiais acumulados, realizar limpeza da área e acionar o controle de pragas quando necessário.</t>
  </si>
  <si>
    <t>Utilizar somente produtos aprovados, identificados e na quantidade necessária, mantendo a FDS disponível e o armazenamento adequado.</t>
  </si>
  <si>
    <t>Verificar periodicamente a identificação, validade, integridade das embalagens, condições de armazenamento e consumo dos produtos.</t>
  </si>
  <si>
    <t>Conter eventuais vazamentos ou derramamentos, recolher os resíduos gerados e destiná-los como perigosos quando aplicável.</t>
  </si>
  <si>
    <t>Utilizar água de forma racional, eliminar vazamentos e adotar equipamentos ou práticas de redução e reúso quando aplicável.</t>
  </si>
  <si>
    <t>Acompanhar periodicamente o consumo de água e inspecionar instalações e equipamentos para identificação de perdas.</t>
  </si>
  <si>
    <t>Corrigir imediatamente vazamentos e desvios de consumo, acionando a manutenção quando necessário.</t>
  </si>
  <si>
    <t>Priorizar o uso racional do papel, impressão frente e verso, reutilização de folhas e materiais reciclados quando aplicável.</t>
  </si>
  <si>
    <t>Acompanhar o consumo e verificar a correta segregação do material após o uso.</t>
  </si>
  <si>
    <t>Segregar o material descartado e encaminhá-lo para reciclagem por empresa licenciada.</t>
  </si>
  <si>
    <t>Manter equipamentos, motores e sistemas de refrigeração ou combustão em boas condições, com manutenção preventiva e controle de vazamentos e emissões.</t>
  </si>
  <si>
    <t>Realizar inspeções periódicas, acompanhar as manutenções e monitorar as emissões ou o consumo de insumos quando aplicável.</t>
  </si>
  <si>
    <t>Interromper a operação em caso de vazamento ou emissão anormal, isolar a fonte e providenciar manutenção corretiva por pessoal qualificado.</t>
  </si>
  <si>
    <t>Contratar transportador qualificado, verificar as condições do veículo e da carga, assegurar o correto acondicionamento e manter recursos para atendimento a emergências.</t>
  </si>
  <si>
    <t>Verificar a documentação do transporte, as condições do veículo e da carga e acompanhar ocorrências durante o trajeto.</t>
  </si>
  <si>
    <t>Acionar o atendimento a emergências, isolar a área, conter eventuais vazamentos e providenciar a remoção e a destinação ambientalmente adequada da carga e dos resíduos.</t>
  </si>
  <si>
    <t>Utilizar combustível ou biomassa de forma eficiente, evitar perdas e manter equipamentos e sistemas de combustão regulados.</t>
  </si>
  <si>
    <t>Acompanhar periodicamente o consumo de combustível ou biomassa e as condições operacionais dos equipamentos.</t>
  </si>
  <si>
    <t>Corrigir vazamentos, perdas ou desvios de consumo e acionar a manutenção quando necessário.</t>
  </si>
  <si>
    <t>Manter motores e sistemas de combustão regulados e com manutenção preventiva em dia, evitando a operação de veículos ou equipamentos com emissão visível excessiva.</t>
  </si>
  <si>
    <t>Realizar inspeção visual e monitoramento periódico da emissão de fumaça preta.</t>
  </si>
  <si>
    <t>Suspender a operação ou impedir o acesso do veículo com emissão irregular até a correção da condição.</t>
  </si>
  <si>
    <t>Utilizar pallets retornáveis ou reutilizáveis, conservar o material e evitar perdas e danos durante o manuseio.</t>
  </si>
  <si>
    <t>Controlar a movimentação, a devolução e as condições dos pallets utilizados.</t>
  </si>
  <si>
    <t>Segregar pallets danificados para reparo, reutilização ou destinação ambientalmente adequada.</t>
  </si>
  <si>
    <t>Manter o processo e os equipamentos sob parâmetros operacionais controlados, com sistemas de combustão e exaustão em condições adequadas.</t>
  </si>
  <si>
    <t>Monitorar os parâmetros do processo, realizar inspeções periódicas e acompanhar eventuais reclamações da comunidade.</t>
  </si>
  <si>
    <t>Ajustar ou interromper o processo em caso de emissão anormal de odor e corrigir imediatamente a condição operacional.</t>
  </si>
  <si>
    <t>Utilizar biomassa de origem regular de forma eficiente, evitar perdas e manter equipamentos e sistemas de combustão regulados.</t>
  </si>
  <si>
    <t>Acompanhar periodicamente o consumo de biomassa de origem regular e as condições operacionais dos equipamentos.</t>
  </si>
  <si>
    <t>Utilizar GLP de forma eficiente, evitar perdas e manter equipamentos e sistemas de combustão regulados.</t>
  </si>
  <si>
    <t>Acompanhar periodicamente o consumo de GLP e as condições operacionais dos equipamentos.</t>
  </si>
  <si>
    <t>Meta de consumo de eletricidade</t>
  </si>
  <si>
    <t>Meta de consumo de água</t>
  </si>
  <si>
    <t>Meta de consumo de energia</t>
  </si>
  <si>
    <t>Meta de consumo de GLP</t>
  </si>
  <si>
    <t>Meta de consumo de biomassa</t>
  </si>
  <si>
    <t>RISCO INICIAL</t>
  </si>
  <si>
    <t>CRITÉRIOS</t>
  </si>
  <si>
    <t>FREQUÊNCIA RESIDUAL</t>
  </si>
  <si>
    <t>SEVERIDADE RESIDUAL</t>
  </si>
  <si>
    <t>PROBABILIDADE RESIDUAL</t>
  </si>
  <si>
    <t xml:space="preserve">Armazenamento de produtos químicos inflamáveis </t>
  </si>
  <si>
    <t xml:space="preserve">Armazenamento de produtos químicos </t>
  </si>
  <si>
    <t xml:space="preserve">Compactação de resíduos </t>
  </si>
  <si>
    <t>Geração de resíduo orgânico</t>
  </si>
  <si>
    <t>Descarregamento de café</t>
  </si>
  <si>
    <t>Abastecimento dos silos</t>
  </si>
  <si>
    <t xml:space="preserve">Descarte de embalagem aluminizada </t>
  </si>
  <si>
    <t>Descarte de café</t>
  </si>
  <si>
    <t>Descarte de  caixas e tubetes de papelão, papel craft, filme strech.</t>
  </si>
  <si>
    <t>Descarte de etiquetas, fitilho, ribbon, teflon</t>
  </si>
  <si>
    <t xml:space="preserve">Varrição da área </t>
  </si>
  <si>
    <t>Campanhas de vacinação</t>
  </si>
  <si>
    <t>Armazenamento de equipamentos de projeto de engenharia, peças da manutenção etc.</t>
  </si>
  <si>
    <t>Manter equipamentos em boas condições, realizar manutenção preventiva e executar a atividade em piso impermeável ou com contenção disponível.</t>
  </si>
  <si>
    <t xml:space="preserve">Geração de resíduos não recicláveis </t>
  </si>
  <si>
    <t>Consumo de papel toalha</t>
  </si>
  <si>
    <t>Salas administrativas</t>
  </si>
  <si>
    <t xml:space="preserve">Higienização de mãos </t>
  </si>
  <si>
    <t>Barreiras sanitárias</t>
  </si>
  <si>
    <t>Transporte de café das cooperativas</t>
  </si>
  <si>
    <t>Laboratório da qualidade</t>
  </si>
  <si>
    <t>Descarte de amostras das análises de controle de qualidade do café</t>
  </si>
  <si>
    <t>Descarte de amostras das análises de controle de qualidade da embalagem</t>
  </si>
  <si>
    <t>Descarte de folhas de papel</t>
  </si>
  <si>
    <t xml:space="preserve">Descarte de amostras do shelf life </t>
  </si>
  <si>
    <t>Geração de resíduos recicláveis e não recicláveis</t>
  </si>
  <si>
    <t>Segregar os resíduos no ponto de geração, mantê-los limpos quando aplicável e acondicioná-los em coletores ou área identificada para reutilização,reciclagem ou tratamento adequado.</t>
  </si>
  <si>
    <t>Esvaziamento dos carrinhos de limpeza</t>
  </si>
  <si>
    <t>Lavagem de materiais de limpeza</t>
  </si>
  <si>
    <t>Descarte de emebalagens de produtos de limpeza</t>
  </si>
  <si>
    <t>Risco de mistura de resíduos</t>
  </si>
  <si>
    <t>Transporte de Produto acabado</t>
  </si>
  <si>
    <t>Descarte de Pallets</t>
  </si>
  <si>
    <t>Geração de resíduos recicláveis</t>
  </si>
  <si>
    <t>Armazenamento de produto acabado</t>
  </si>
  <si>
    <t>Utilização de equipamentos eletrônicos</t>
  </si>
  <si>
    <t xml:space="preserve">Armazenamento e uso de produtos quimicos </t>
  </si>
  <si>
    <t>Realizar o armazenamento e manuseio dos cilindros de gás em conformidade com os procedimentos de segurança estabelecidos, mantendo-os identificados, na posição vertical, fixados adequadamente e protegidos contra impactos, fontes de calor e vazamentos.</t>
  </si>
  <si>
    <t>Realizar inspeções periódicas nas áreas de armazenamento e utilização dos cilindros, verificando as condições de conservação, identificação, integridade física, presença de vazamentos, validade de inspeções dos cilindros e conformidade com os procedimentos aplicáveis.</t>
  </si>
  <si>
    <t>Em caso de vazamento, dano ou outra condição anormal, interromper imediatamente a atividade, isolar a área, remover fontes de ignição quando aplicável e acionar a equipe responsável para avaliação e correção da situação. Destinar adequadamente cilindros danificados ou fora de especificação, visando minimizar potenciais impactos ambientais e riscos à segurança.</t>
  </si>
  <si>
    <t>Contratação de Transporte de resíduos</t>
  </si>
  <si>
    <t>Refrigeração dos rolos por chiller</t>
  </si>
  <si>
    <t>Insignificante</t>
  </si>
  <si>
    <t>Logística</t>
  </si>
  <si>
    <t>Consumo de plástico Stretch</t>
  </si>
  <si>
    <t>Priorizar o uso racional do plástico Strecth.</t>
  </si>
  <si>
    <t>Priorizar o uso racional do papel, impressão frente e verso, reutilização de folhas etc.</t>
  </si>
  <si>
    <t>Segregar os resíduos nos pontos de geração, mantê-los limpos quando aplicável e acondicioná-los em coletores ou área identificada para reutilização ou reciclagem.</t>
  </si>
  <si>
    <t>Recepção de visitantes/clientes/associados</t>
  </si>
  <si>
    <t>Utilização de produtos químicos</t>
  </si>
  <si>
    <t>realização de Refeições</t>
  </si>
  <si>
    <t>Separação de resíduos perigosos</t>
  </si>
  <si>
    <t>Funcionamento dos equipamentos</t>
  </si>
  <si>
    <t>Geração de resíiduo orgânico</t>
  </si>
  <si>
    <t>i</t>
  </si>
  <si>
    <t xml:space="preserve">Acúmulo de resíduos </t>
  </si>
  <si>
    <t>Café 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</si>
</sst>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0\ _₽_-;\-* #,##0.00\ _₽_-;_-* &quot;-&quot;??\ _₽_-;_-@_-"/>
  </numFmts>
  <fonts count="5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b/>
      <sz val="12"/>
      <color indexed="10"/>
      <name val="Arial"/>
      <family val="2"/>
      <charset val="162"/>
    </font>
    <font>
      <b/>
      <sz val="12"/>
      <color indexed="30"/>
      <name val="Arial"/>
      <family val="2"/>
      <charset val="162"/>
    </font>
    <font>
      <b/>
      <sz val="12"/>
      <color indexed="17"/>
      <name val="Arial"/>
      <family val="2"/>
      <charset val="162"/>
    </font>
    <font>
      <b/>
      <sz val="12"/>
      <color indexed="53"/>
      <name val="Arial"/>
      <family val="2"/>
      <charset val="162"/>
    </font>
    <font>
      <b/>
      <sz val="9"/>
      <color indexed="9"/>
      <name val="Arial"/>
      <family val="2"/>
    </font>
    <font>
      <b/>
      <sz val="10"/>
      <color indexed="9"/>
      <name val="Arial"/>
      <family val="2"/>
      <charset val="162"/>
    </font>
    <font>
      <sz val="10"/>
      <color indexed="9"/>
      <name val="Arial"/>
      <family val="2"/>
      <charset val="16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sz val="10"/>
      <color indexed="62"/>
      <name val="Arial"/>
      <family val="2"/>
      <charset val="162"/>
    </font>
    <font>
      <sz val="10"/>
      <color indexed="56"/>
      <name val="Arial"/>
      <family val="2"/>
      <charset val="162"/>
    </font>
    <font>
      <sz val="10"/>
      <color indexed="21"/>
      <name val="Arial"/>
      <family val="2"/>
      <charset val="162"/>
    </font>
    <font>
      <sz val="10"/>
      <color indexed="17"/>
      <name val="Arial"/>
      <family val="2"/>
      <charset val="162"/>
    </font>
    <font>
      <b/>
      <sz val="12"/>
      <name val="Arial"/>
      <family val="2"/>
    </font>
    <font>
      <sz val="10"/>
      <color indexed="17"/>
      <name val="Arial"/>
      <family val="2"/>
      <charset val="204"/>
    </font>
    <font>
      <b/>
      <sz val="11"/>
      <color indexed="10"/>
      <name val="Arial"/>
      <family val="2"/>
      <charset val="162"/>
    </font>
    <font>
      <sz val="12"/>
      <name val="Arial"/>
      <family val="2"/>
    </font>
    <font>
      <sz val="36"/>
      <color indexed="10"/>
      <name val="Arial"/>
      <family val="2"/>
      <charset val="16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b/>
      <sz val="10.8"/>
      <color indexed="9"/>
      <name val="Arial"/>
      <family val="2"/>
    </font>
    <font>
      <b/>
      <sz val="12"/>
      <color indexed="9"/>
      <name val="Arial Black"/>
      <family val="2"/>
      <charset val="204"/>
    </font>
    <font>
      <b/>
      <sz val="12"/>
      <color theme="0"/>
      <name val="Arial"/>
      <family val="2"/>
      <charset val="204"/>
    </font>
    <font>
      <b/>
      <sz val="12"/>
      <color theme="0"/>
      <name val="Arial Black"/>
      <family val="2"/>
      <charset val="204"/>
    </font>
    <font>
      <b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40"/>
      <name val="Calibri"/>
      <family val="2"/>
      <scheme val="minor"/>
    </font>
    <font>
      <sz val="40"/>
      <color theme="1"/>
      <name val="Calibri"/>
      <family val="2"/>
      <scheme val="minor"/>
    </font>
    <font>
      <sz val="40"/>
      <name val="Calibri"/>
      <family val="2"/>
      <scheme val="minor"/>
    </font>
    <font>
      <sz val="40"/>
      <color rgb="FF000000"/>
      <name val="Calibri"/>
      <family val="2"/>
      <scheme val="minor"/>
    </font>
    <font>
      <b/>
      <sz val="60"/>
      <name val="Calibri"/>
      <family val="2"/>
      <scheme val="minor"/>
    </font>
    <font>
      <b/>
      <sz val="60"/>
      <color theme="0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sz val="60"/>
      <name val="Calibri"/>
      <family val="2"/>
      <scheme val="minor"/>
    </font>
    <font>
      <sz val="60"/>
      <color rgb="FF000000"/>
      <name val="Calibri"/>
      <family val="2"/>
      <scheme val="minor"/>
    </font>
    <font>
      <b/>
      <sz val="60"/>
      <color rgb="FF000000"/>
      <name val="Calibri"/>
      <family val="2"/>
      <scheme val="minor"/>
    </font>
    <font>
      <sz val="60"/>
      <name val="Arial"/>
      <family val="2"/>
    </font>
    <font>
      <b/>
      <sz val="48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42211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538DD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165" fontId="33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3"/>
    <xf numFmtId="0" fontId="3" fillId="0" borderId="0" xfId="3" applyAlignment="1">
      <alignment horizontal="center"/>
    </xf>
    <xf numFmtId="0" fontId="3" fillId="0" borderId="0" xfId="3" applyAlignment="1">
      <alignment horizontal="left"/>
    </xf>
    <xf numFmtId="0" fontId="3" fillId="0" borderId="0" xfId="3" applyAlignment="1">
      <alignment horizontal="center" vertical="center"/>
    </xf>
    <xf numFmtId="0" fontId="10" fillId="5" borderId="1" xfId="3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center" vertical="center" wrapText="1"/>
    </xf>
    <xf numFmtId="0" fontId="3" fillId="0" borderId="0" xfId="3" applyAlignment="1" applyProtection="1">
      <alignment horizontal="center" vertical="center"/>
      <protection locked="0"/>
    </xf>
    <xf numFmtId="0" fontId="10" fillId="6" borderId="1" xfId="3" applyFont="1" applyFill="1" applyBorder="1" applyAlignment="1">
      <alignment horizontal="center" vertical="center" wrapText="1"/>
    </xf>
    <xf numFmtId="0" fontId="13" fillId="7" borderId="1" xfId="3" applyFont="1" applyFill="1" applyBorder="1" applyAlignment="1">
      <alignment horizontal="center" vertical="center" wrapText="1"/>
    </xf>
    <xf numFmtId="0" fontId="3" fillId="0" borderId="0" xfId="3" applyProtection="1">
      <protection locked="0"/>
    </xf>
    <xf numFmtId="0" fontId="3" fillId="0" borderId="0" xfId="3" applyAlignment="1" applyProtection="1">
      <alignment horizontal="center"/>
      <protection locked="0"/>
    </xf>
    <xf numFmtId="0" fontId="14" fillId="5" borderId="1" xfId="3" applyFont="1" applyFill="1" applyBorder="1" applyAlignment="1">
      <alignment horizontal="center" vertical="center"/>
    </xf>
    <xf numFmtId="0" fontId="15" fillId="0" borderId="1" xfId="3" applyFont="1" applyBorder="1" applyAlignment="1">
      <alignment horizontal="center" vertical="center" wrapText="1"/>
    </xf>
    <xf numFmtId="0" fontId="16" fillId="5" borderId="0" xfId="3" applyFont="1" applyFill="1" applyProtection="1">
      <protection locked="0"/>
    </xf>
    <xf numFmtId="0" fontId="14" fillId="6" borderId="1" xfId="3" applyFont="1" applyFill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16" fillId="6" borderId="0" xfId="3" applyFont="1" applyFill="1" applyProtection="1">
      <protection locked="0"/>
    </xf>
    <xf numFmtId="0" fontId="14" fillId="7" borderId="1" xfId="3" applyFont="1" applyFill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16" fillId="7" borderId="0" xfId="3" applyFont="1" applyFill="1" applyProtection="1">
      <protection locked="0"/>
    </xf>
    <xf numFmtId="0" fontId="19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9" fillId="0" borderId="0" xfId="3" applyFont="1" applyAlignment="1" applyProtection="1">
      <alignment horizontal="center" vertical="center"/>
      <protection locked="0"/>
    </xf>
    <xf numFmtId="0" fontId="17" fillId="0" borderId="0" xfId="3" applyFont="1" applyAlignment="1">
      <alignment horizontal="center" vertical="center"/>
    </xf>
    <xf numFmtId="0" fontId="20" fillId="0" borderId="1" xfId="3" applyFont="1" applyBorder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22" fillId="0" borderId="0" xfId="3" applyFont="1" applyAlignment="1">
      <alignment horizontal="center"/>
    </xf>
    <xf numFmtId="0" fontId="23" fillId="0" borderId="0" xfId="3" applyFont="1" applyAlignment="1">
      <alignment horizontal="center"/>
    </xf>
    <xf numFmtId="0" fontId="24" fillId="0" borderId="0" xfId="3" applyFont="1" applyAlignment="1">
      <alignment horizontal="center" vertical="center" wrapText="1"/>
    </xf>
    <xf numFmtId="0" fontId="14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 wrapText="1"/>
    </xf>
    <xf numFmtId="0" fontId="35" fillId="2" borderId="0" xfId="0" applyFont="1" applyFill="1"/>
    <xf numFmtId="0" fontId="34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8" fillId="0" borderId="0" xfId="0" pivotButton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wrapText="1"/>
    </xf>
    <xf numFmtId="0" fontId="39" fillId="2" borderId="0" xfId="0" applyFont="1" applyFill="1" applyAlignment="1">
      <alignment wrapText="1"/>
    </xf>
    <xf numFmtId="0" fontId="39" fillId="2" borderId="1" xfId="0" applyFont="1" applyFill="1" applyBorder="1" applyAlignment="1">
      <alignment wrapText="1"/>
    </xf>
    <xf numFmtId="0" fontId="39" fillId="2" borderId="0" xfId="0" applyFont="1" applyFill="1" applyAlignment="1">
      <alignment horizontal="left" wrapText="1"/>
    </xf>
    <xf numFmtId="0" fontId="42" fillId="2" borderId="0" xfId="0" applyFont="1" applyFill="1" applyAlignment="1">
      <alignment wrapText="1"/>
    </xf>
    <xf numFmtId="49" fontId="39" fillId="2" borderId="0" xfId="0" applyNumberFormat="1" applyFont="1" applyFill="1" applyAlignment="1">
      <alignment horizontal="center" wrapText="1"/>
    </xf>
    <xf numFmtId="0" fontId="40" fillId="3" borderId="0" xfId="0" applyFont="1" applyFill="1" applyAlignment="1">
      <alignment horizontal="center" vertical="center" wrapText="1"/>
    </xf>
    <xf numFmtId="0" fontId="43" fillId="11" borderId="0" xfId="0" applyFont="1" applyFill="1" applyAlignment="1">
      <alignment vertical="center" wrapText="1"/>
    </xf>
    <xf numFmtId="0" fontId="43" fillId="0" borderId="0" xfId="0" applyFont="1" applyAlignment="1">
      <alignment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44" fillId="11" borderId="0" xfId="0" applyFont="1" applyFill="1" applyAlignment="1">
      <alignment wrapText="1"/>
    </xf>
    <xf numFmtId="0" fontId="45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0" fontId="47" fillId="0" borderId="1" xfId="0" applyFont="1" applyBorder="1" applyAlignment="1">
      <alignment horizontal="center" vertical="center" wrapText="1"/>
    </xf>
    <xf numFmtId="0" fontId="46" fillId="2" borderId="0" xfId="0" applyFont="1" applyFill="1" applyAlignment="1">
      <alignment wrapText="1"/>
    </xf>
    <xf numFmtId="14" fontId="46" fillId="2" borderId="0" xfId="0" applyNumberFormat="1" applyFont="1" applyFill="1" applyAlignment="1">
      <alignment wrapText="1"/>
    </xf>
    <xf numFmtId="0" fontId="46" fillId="14" borderId="10" xfId="0" applyFont="1" applyFill="1" applyBorder="1" applyAlignment="1">
      <alignment wrapText="1"/>
    </xf>
    <xf numFmtId="0" fontId="45" fillId="0" borderId="2" xfId="0" applyFont="1" applyBorder="1" applyAlignment="1">
      <alignment horizontal="center" vertical="center" wrapText="1"/>
    </xf>
    <xf numFmtId="0" fontId="46" fillId="0" borderId="0" xfId="0" applyFont="1" applyAlignment="1">
      <alignment wrapText="1"/>
    </xf>
    <xf numFmtId="0" fontId="46" fillId="14" borderId="0" xfId="0" applyFont="1" applyFill="1" applyAlignment="1">
      <alignment wrapText="1"/>
    </xf>
    <xf numFmtId="0" fontId="48" fillId="12" borderId="2" xfId="0" applyFont="1" applyFill="1" applyBorder="1" applyAlignment="1">
      <alignment horizontal="center" vertical="center" wrapText="1"/>
    </xf>
    <xf numFmtId="0" fontId="48" fillId="12" borderId="3" xfId="0" applyFont="1" applyFill="1" applyBorder="1" applyAlignment="1">
      <alignment horizontal="center" vertical="center" wrapText="1"/>
    </xf>
    <xf numFmtId="0" fontId="48" fillId="12" borderId="1" xfId="0" applyFont="1" applyFill="1" applyBorder="1" applyAlignment="1">
      <alignment horizontal="center" vertical="center" wrapText="1"/>
    </xf>
    <xf numFmtId="0" fontId="50" fillId="12" borderId="1" xfId="0" applyFont="1" applyFill="1" applyBorder="1" applyAlignment="1">
      <alignment horizontal="center" vertical="center" textRotation="90" wrapText="1"/>
    </xf>
    <xf numFmtId="0" fontId="49" fillId="9" borderId="1" xfId="0" applyFont="1" applyFill="1" applyBorder="1" applyAlignment="1">
      <alignment horizontal="center" vertical="center" textRotation="90" wrapText="1"/>
    </xf>
    <xf numFmtId="0" fontId="48" fillId="12" borderId="8" xfId="0" applyFont="1" applyFill="1" applyBorder="1" applyAlignment="1">
      <alignment horizontal="center" vertical="center" wrapText="1"/>
    </xf>
    <xf numFmtId="0" fontId="48" fillId="13" borderId="8" xfId="0" applyFont="1" applyFill="1" applyBorder="1" applyAlignment="1">
      <alignment horizontal="center" vertical="center" textRotation="90" wrapText="1"/>
    </xf>
    <xf numFmtId="0" fontId="51" fillId="0" borderId="1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164" fontId="52" fillId="0" borderId="1" xfId="0" applyNumberFormat="1" applyFont="1" applyBorder="1" applyAlignment="1">
      <alignment horizontal="center" vertical="center" wrapText="1"/>
    </xf>
    <xf numFmtId="164" fontId="52" fillId="0" borderId="1" xfId="2" applyNumberFormat="1" applyFont="1" applyBorder="1" applyAlignment="1">
      <alignment horizontal="center" vertical="center" wrapText="1"/>
    </xf>
    <xf numFmtId="164" fontId="52" fillId="0" borderId="3" xfId="2" applyNumberFormat="1" applyFont="1" applyBorder="1" applyAlignment="1">
      <alignment horizontal="center" vertical="center" wrapText="1"/>
    </xf>
    <xf numFmtId="164" fontId="50" fillId="0" borderId="1" xfId="0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164" fontId="51" fillId="11" borderId="1" xfId="0" applyNumberFormat="1" applyFont="1" applyFill="1" applyBorder="1" applyAlignment="1">
      <alignment horizontal="center" vertical="center" wrapText="1"/>
    </xf>
    <xf numFmtId="164" fontId="51" fillId="0" borderId="1" xfId="0" applyNumberFormat="1" applyFont="1" applyBorder="1" applyAlignment="1">
      <alignment horizontal="center" vertical="center" wrapText="1"/>
    </xf>
    <xf numFmtId="0" fontId="52" fillId="11" borderId="8" xfId="0" applyFont="1" applyFill="1" applyBorder="1" applyAlignment="1">
      <alignment horizontal="center" vertical="center" wrapText="1"/>
    </xf>
    <xf numFmtId="0" fontId="51" fillId="11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2" fillId="11" borderId="1" xfId="0" applyFont="1" applyFill="1" applyBorder="1" applyAlignment="1">
      <alignment horizontal="center" vertical="center" wrapText="1"/>
    </xf>
    <xf numFmtId="164" fontId="54" fillId="0" borderId="1" xfId="0" applyNumberFormat="1" applyFont="1" applyBorder="1" applyAlignment="1">
      <alignment horizontal="center" vertical="center" wrapText="1"/>
    </xf>
    <xf numFmtId="164" fontId="53" fillId="14" borderId="1" xfId="0" applyNumberFormat="1" applyFont="1" applyFill="1" applyBorder="1" applyAlignment="1">
      <alignment horizontal="center" vertical="center" wrapText="1"/>
    </xf>
    <xf numFmtId="164" fontId="52" fillId="0" borderId="3" xfId="0" applyNumberFormat="1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52" fillId="14" borderId="8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top" wrapText="1"/>
    </xf>
    <xf numFmtId="0" fontId="51" fillId="0" borderId="1" xfId="0" quotePrefix="1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wrapText="1"/>
    </xf>
    <xf numFmtId="0" fontId="51" fillId="0" borderId="2" xfId="0" applyFont="1" applyBorder="1" applyAlignment="1">
      <alignment horizontal="center" vertical="center" wrapText="1"/>
    </xf>
    <xf numFmtId="164" fontId="53" fillId="0" borderId="1" xfId="0" applyNumberFormat="1" applyFont="1" applyBorder="1" applyAlignment="1">
      <alignment horizontal="center" vertical="center" wrapText="1"/>
    </xf>
    <xf numFmtId="0" fontId="52" fillId="14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top" wrapText="1"/>
    </xf>
    <xf numFmtId="0" fontId="53" fillId="15" borderId="1" xfId="0" applyFont="1" applyFill="1" applyBorder="1" applyAlignment="1">
      <alignment horizontal="center" vertical="center" wrapText="1"/>
    </xf>
    <xf numFmtId="0" fontId="48" fillId="13" borderId="11" xfId="0" applyFont="1" applyFill="1" applyBorder="1" applyAlignment="1">
      <alignment horizontal="center" vertical="center" textRotation="90" wrapText="1"/>
    </xf>
    <xf numFmtId="0" fontId="48" fillId="12" borderId="8" xfId="0" applyFont="1" applyFill="1" applyBorder="1" applyAlignment="1">
      <alignment vertical="center" wrapText="1"/>
    </xf>
    <xf numFmtId="0" fontId="48" fillId="12" borderId="9" xfId="0" applyFont="1" applyFill="1" applyBorder="1" applyAlignment="1">
      <alignment vertical="top" wrapText="1"/>
    </xf>
    <xf numFmtId="0" fontId="56" fillId="12" borderId="8" xfId="0" applyFont="1" applyFill="1" applyBorder="1" applyAlignment="1">
      <alignment horizontal="center" vertical="center" textRotation="90" wrapText="1"/>
    </xf>
    <xf numFmtId="0" fontId="57" fillId="12" borderId="1" xfId="0" applyFont="1" applyFill="1" applyBorder="1" applyAlignment="1">
      <alignment horizontal="center" vertical="center" textRotation="90" wrapText="1"/>
    </xf>
    <xf numFmtId="0" fontId="57" fillId="12" borderId="3" xfId="0" applyFont="1" applyFill="1" applyBorder="1" applyAlignment="1">
      <alignment horizontal="center" vertical="center" textRotation="90" wrapText="1"/>
    </xf>
    <xf numFmtId="0" fontId="57" fillId="12" borderId="8" xfId="0" applyFont="1" applyFill="1" applyBorder="1" applyAlignment="1">
      <alignment horizontal="center" vertical="center" textRotation="90" wrapText="1"/>
    </xf>
    <xf numFmtId="0" fontId="41" fillId="3" borderId="0" xfId="0" applyFont="1" applyFill="1" applyAlignment="1">
      <alignment horizontal="center" vertical="center" wrapText="1"/>
    </xf>
    <xf numFmtId="0" fontId="48" fillId="12" borderId="2" xfId="0" applyFont="1" applyFill="1" applyBorder="1" applyAlignment="1">
      <alignment horizontal="center" vertical="center" wrapText="1"/>
    </xf>
    <xf numFmtId="0" fontId="48" fillId="12" borderId="4" xfId="0" applyFont="1" applyFill="1" applyBorder="1" applyAlignment="1">
      <alignment horizontal="center" vertical="center" wrapText="1"/>
    </xf>
    <xf numFmtId="0" fontId="48" fillId="12" borderId="3" xfId="0" applyFont="1" applyFill="1" applyBorder="1" applyAlignment="1">
      <alignment horizontal="center" vertical="center" wrapText="1"/>
    </xf>
    <xf numFmtId="0" fontId="49" fillId="9" borderId="1" xfId="0" applyFont="1" applyFill="1" applyBorder="1" applyAlignment="1">
      <alignment horizontal="center" vertical="center" wrapText="1"/>
    </xf>
    <xf numFmtId="0" fontId="48" fillId="13" borderId="2" xfId="0" applyFont="1" applyFill="1" applyBorder="1" applyAlignment="1">
      <alignment horizontal="center" vertical="center" wrapText="1"/>
    </xf>
    <xf numFmtId="0" fontId="48" fillId="13" borderId="3" xfId="0" applyFont="1" applyFill="1" applyBorder="1" applyAlignment="1">
      <alignment horizontal="center" vertical="center" wrapText="1"/>
    </xf>
    <xf numFmtId="0" fontId="48" fillId="12" borderId="1" xfId="0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/>
    </xf>
    <xf numFmtId="0" fontId="3" fillId="0" borderId="4" xfId="3" applyBorder="1" applyAlignment="1">
      <alignment horizontal="center"/>
    </xf>
    <xf numFmtId="0" fontId="3" fillId="0" borderId="3" xfId="3" applyBorder="1" applyAlignment="1">
      <alignment horizontal="center"/>
    </xf>
    <xf numFmtId="0" fontId="3" fillId="0" borderId="0" xfId="3" applyAlignment="1">
      <alignment horizontal="center"/>
    </xf>
    <xf numFmtId="0" fontId="11" fillId="6" borderId="6" xfId="3" applyFont="1" applyFill="1" applyBorder="1" applyAlignment="1">
      <alignment horizontal="center" vertical="center" wrapText="1"/>
    </xf>
    <xf numFmtId="0" fontId="11" fillId="6" borderId="7" xfId="3" applyFont="1" applyFill="1" applyBorder="1" applyAlignment="1">
      <alignment horizontal="center" vertical="center" wrapText="1"/>
    </xf>
    <xf numFmtId="0" fontId="14" fillId="8" borderId="2" xfId="3" applyFont="1" applyFill="1" applyBorder="1" applyAlignment="1">
      <alignment horizontal="center" vertical="center"/>
    </xf>
    <xf numFmtId="0" fontId="14" fillId="8" borderId="4" xfId="3" applyFont="1" applyFill="1" applyBorder="1" applyAlignment="1">
      <alignment horizontal="center" vertical="center"/>
    </xf>
    <xf numFmtId="0" fontId="14" fillId="8" borderId="3" xfId="3" applyFont="1" applyFill="1" applyBorder="1" applyAlignment="1">
      <alignment horizontal="center" vertical="center"/>
    </xf>
    <xf numFmtId="0" fontId="14" fillId="8" borderId="2" xfId="3" applyFont="1" applyFill="1" applyBorder="1" applyAlignment="1">
      <alignment horizontal="center" vertical="center" wrapText="1"/>
    </xf>
    <xf numFmtId="0" fontId="14" fillId="4" borderId="2" xfId="3" applyFont="1" applyFill="1" applyBorder="1" applyAlignment="1">
      <alignment horizontal="center" vertical="center"/>
    </xf>
    <xf numFmtId="0" fontId="14" fillId="4" borderId="4" xfId="3" applyFont="1" applyFill="1" applyBorder="1" applyAlignment="1">
      <alignment horizontal="center" vertical="center"/>
    </xf>
    <xf numFmtId="0" fontId="14" fillId="4" borderId="3" xfId="3" applyFont="1" applyFill="1" applyBorder="1" applyAlignment="1">
      <alignment horizontal="center" vertical="center"/>
    </xf>
    <xf numFmtId="0" fontId="26" fillId="0" borderId="2" xfId="3" applyFont="1" applyBorder="1" applyAlignment="1">
      <alignment horizontal="center" vertical="center" wrapText="1"/>
    </xf>
    <xf numFmtId="0" fontId="26" fillId="0" borderId="4" xfId="3" applyFont="1" applyBorder="1" applyAlignment="1">
      <alignment horizontal="center" vertical="center" wrapText="1"/>
    </xf>
    <xf numFmtId="0" fontId="26" fillId="0" borderId="3" xfId="3" applyFont="1" applyBorder="1" applyAlignment="1">
      <alignment horizontal="center" vertical="center" wrapText="1"/>
    </xf>
    <xf numFmtId="0" fontId="14" fillId="9" borderId="2" xfId="3" applyFont="1" applyFill="1" applyBorder="1" applyAlignment="1">
      <alignment horizontal="center" vertical="center"/>
    </xf>
    <xf numFmtId="0" fontId="14" fillId="9" borderId="4" xfId="3" applyFont="1" applyFill="1" applyBorder="1" applyAlignment="1">
      <alignment horizontal="center" vertical="center"/>
    </xf>
    <xf numFmtId="0" fontId="14" fillId="9" borderId="3" xfId="3" applyFont="1" applyFill="1" applyBorder="1" applyAlignment="1">
      <alignment horizontal="center"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4" xfId="3" applyFont="1" applyBorder="1" applyAlignment="1">
      <alignment horizontal="center" vertical="center" wrapText="1"/>
    </xf>
    <xf numFmtId="0" fontId="24" fillId="0" borderId="3" xfId="3" applyFont="1" applyBorder="1" applyAlignment="1">
      <alignment horizontal="center" vertical="center" wrapText="1"/>
    </xf>
    <xf numFmtId="0" fontId="14" fillId="10" borderId="2" xfId="3" applyFont="1" applyFill="1" applyBorder="1" applyAlignment="1">
      <alignment horizontal="center" vertical="center"/>
    </xf>
    <xf numFmtId="0" fontId="14" fillId="10" borderId="4" xfId="3" applyFont="1" applyFill="1" applyBorder="1" applyAlignment="1">
      <alignment horizontal="center" vertical="center"/>
    </xf>
    <xf numFmtId="0" fontId="14" fillId="10" borderId="3" xfId="3" applyFont="1" applyFill="1" applyBorder="1" applyAlignment="1">
      <alignment horizontal="center" vertical="center"/>
    </xf>
    <xf numFmtId="0" fontId="14" fillId="16" borderId="2" xfId="3" applyFont="1" applyFill="1" applyBorder="1" applyAlignment="1">
      <alignment horizontal="center" vertical="center"/>
    </xf>
    <xf numFmtId="0" fontId="14" fillId="16" borderId="4" xfId="3" applyFont="1" applyFill="1" applyBorder="1" applyAlignment="1">
      <alignment horizontal="center" vertical="center"/>
    </xf>
    <xf numFmtId="0" fontId="14" fillId="16" borderId="3" xfId="3" applyFont="1" applyFill="1" applyBorder="1" applyAlignment="1">
      <alignment horizontal="center" vertical="center"/>
    </xf>
    <xf numFmtId="0" fontId="30" fillId="9" borderId="2" xfId="3" applyFont="1" applyFill="1" applyBorder="1" applyAlignment="1">
      <alignment horizontal="center" vertical="center"/>
    </xf>
    <xf numFmtId="0" fontId="30" fillId="9" borderId="4" xfId="3" applyFont="1" applyFill="1" applyBorder="1" applyAlignment="1">
      <alignment horizontal="center" vertical="center"/>
    </xf>
    <xf numFmtId="0" fontId="30" fillId="9" borderId="3" xfId="3" applyFont="1" applyFill="1" applyBorder="1" applyAlignment="1">
      <alignment horizontal="center" vertical="center"/>
    </xf>
    <xf numFmtId="0" fontId="52" fillId="14" borderId="9" xfId="0" applyFont="1" applyFill="1" applyBorder="1" applyAlignment="1">
      <alignment horizontal="center" vertical="center" wrapText="1"/>
    </xf>
    <xf numFmtId="0" fontId="51" fillId="11" borderId="2" xfId="0" applyFont="1" applyFill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 wrapText="1"/>
    </xf>
    <xf numFmtId="0" fontId="53" fillId="0" borderId="1" xfId="0" applyFont="1" applyBorder="1" applyAlignment="1">
      <alignment vertical="center" wrapText="1"/>
    </xf>
    <xf numFmtId="0" fontId="51" fillId="0" borderId="8" xfId="0" applyFont="1" applyBorder="1" applyAlignment="1">
      <alignment horizontal="center" vertical="center" wrapText="1"/>
    </xf>
  </cellXfs>
  <cellStyles count="5">
    <cellStyle name="Comma 2" xfId="4" xr:uid="{E0C9D69C-3FEA-4E95-B6BA-4D534E05F0AA}"/>
    <cellStyle name="Normal" xfId="0" builtinId="0"/>
    <cellStyle name="Normal 2" xfId="3" xr:uid="{865CD67B-A7C8-4792-8C73-512144C5EA0E}"/>
    <cellStyle name="Standaard 2" xfId="1" xr:uid="{00000000-0005-0000-0000-000001000000}"/>
    <cellStyle name="Standaard 3" xfId="2" xr:uid="{00000000-0005-0000-0000-000002000000}"/>
  </cellStyles>
  <dxfs count="52">
    <dxf>
      <fill>
        <patternFill>
          <bgColor rgb="FFFF0000"/>
        </patternFill>
      </fill>
    </dxf>
    <dxf>
      <fill>
        <patternFill>
          <bgColor rgb="FF538DD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538DD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538DD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538DD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F0000"/>
      <color rgb="FF538DD5"/>
      <color rgb="FFFFC000"/>
      <color rgb="FF00B050"/>
      <color rgb="FFD5C2B2"/>
      <color rgb="FF4221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[PIU - LAIA.xlsx]Significância-processo-aspecto!Tabela dinâmica3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'Significância-processo-aspecto'!$B$2:$B$3</c:f>
              <c:strCache>
                <c:ptCount val="1"/>
                <c:pt idx="0">
                  <c:v>Acúmulo de materiais sem proteção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'Significância-processo-aspecto'!$B$4:$B$28</c:f>
              <c:numCache>
                <c:formatCode>General</c:formatCode>
                <c:ptCount val="24"/>
                <c:pt idx="3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7-4E13-A555-585E1EC3E3C8}"/>
            </c:ext>
          </c:extLst>
        </c:ser>
        <c:ser>
          <c:idx val="1"/>
          <c:order val="1"/>
          <c:tx>
            <c:strRef>
              <c:f>'Significância-processo-aspecto'!$C$2:$C$3</c:f>
              <c:strCache>
                <c:ptCount val="1"/>
                <c:pt idx="0">
                  <c:v>Consumo de água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'Significância-processo-aspecto'!$C$4:$C$28</c:f>
              <c:numCache>
                <c:formatCode>General</c:formatCode>
                <c:ptCount val="24"/>
                <c:pt idx="0">
                  <c:v>12</c:v>
                </c:pt>
                <c:pt idx="2">
                  <c:v>45</c:v>
                </c:pt>
                <c:pt idx="3">
                  <c:v>54</c:v>
                </c:pt>
                <c:pt idx="4">
                  <c:v>3.6</c:v>
                </c:pt>
                <c:pt idx="5">
                  <c:v>1.8</c:v>
                </c:pt>
                <c:pt idx="7">
                  <c:v>3.6</c:v>
                </c:pt>
                <c:pt idx="8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7-4E13-A555-585E1EC3E3C8}"/>
            </c:ext>
          </c:extLst>
        </c:ser>
        <c:ser>
          <c:idx val="2"/>
          <c:order val="2"/>
          <c:tx>
            <c:strRef>
              <c:f>'Significância-processo-aspecto'!$D$2:$D$3</c:f>
              <c:strCache>
                <c:ptCount val="1"/>
                <c:pt idx="0">
                  <c:v>Consumo de combustível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'Significância-processo-aspecto'!$D$4:$D$28</c:f>
              <c:numCache>
                <c:formatCode>General</c:formatCode>
                <c:ptCount val="24"/>
                <c:pt idx="0">
                  <c:v>1.8</c:v>
                </c:pt>
                <c:pt idx="5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F7-4E13-A555-585E1EC3E3C8}"/>
            </c:ext>
          </c:extLst>
        </c:ser>
        <c:ser>
          <c:idx val="3"/>
          <c:order val="3"/>
          <c:tx>
            <c:strRef>
              <c:f>'Significância-processo-aspecto'!$E$2:$E$3</c:f>
              <c:strCache>
                <c:ptCount val="1"/>
                <c:pt idx="0">
                  <c:v>Consumo de energia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'Significância-processo-aspecto'!$E$4:$E$28</c:f>
              <c:numCache>
                <c:formatCode>General</c:formatCode>
                <c:ptCount val="24"/>
                <c:pt idx="1">
                  <c:v>9</c:v>
                </c:pt>
                <c:pt idx="2">
                  <c:v>30</c:v>
                </c:pt>
                <c:pt idx="4">
                  <c:v>6</c:v>
                </c:pt>
                <c:pt idx="7">
                  <c:v>1.8</c:v>
                </c:pt>
                <c:pt idx="8">
                  <c:v>6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F7-4E13-A555-585E1EC3E3C8}"/>
            </c:ext>
          </c:extLst>
        </c:ser>
        <c:ser>
          <c:idx val="4"/>
          <c:order val="4"/>
          <c:tx>
            <c:strRef>
              <c:f>'Significância-processo-aspecto'!$F$2:$F$3</c:f>
              <c:strCache>
                <c:ptCount val="1"/>
                <c:pt idx="0">
                  <c:v>Consumo de madeira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'Significância-processo-aspecto'!$F$4:$F$28</c:f>
              <c:numCache>
                <c:formatCode>General</c:formatCode>
                <c:ptCount val="24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F7-4E13-A555-585E1EC3E3C8}"/>
            </c:ext>
          </c:extLst>
        </c:ser>
        <c:ser>
          <c:idx val="5"/>
          <c:order val="5"/>
          <c:tx>
            <c:strRef>
              <c:f>'Significância-processo-aspecto'!$G$2:$G$3</c:f>
              <c:strCache>
                <c:ptCount val="1"/>
                <c:pt idx="0">
                  <c:v>Consumo de pallets de madeira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'Significância-processo-aspecto'!$G$4:$G$28</c:f>
              <c:numCache>
                <c:formatCode>General</c:formatCode>
                <c:ptCount val="24"/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F7-4E13-A555-585E1EC3E3C8}"/>
            </c:ext>
          </c:extLst>
        </c:ser>
        <c:ser>
          <c:idx val="6"/>
          <c:order val="6"/>
          <c:tx>
            <c:strRef>
              <c:f>'Significância-processo-aspecto'!$H$2:$H$3</c:f>
              <c:strCache>
                <c:ptCount val="1"/>
                <c:pt idx="0">
                  <c:v>Consumo de papel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'Significância-processo-aspecto'!$H$4:$H$28</c:f>
              <c:numCache>
                <c:formatCode>General</c:formatCode>
                <c:ptCount val="24"/>
                <c:pt idx="4">
                  <c:v>9.6</c:v>
                </c:pt>
                <c:pt idx="18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F7-4E13-A555-585E1EC3E3C8}"/>
            </c:ext>
          </c:extLst>
        </c:ser>
        <c:ser>
          <c:idx val="7"/>
          <c:order val="7"/>
          <c:tx>
            <c:strRef>
              <c:f>'Significância-processo-aspecto'!$I$2:$I$3</c:f>
              <c:strCache>
                <c:ptCount val="1"/>
                <c:pt idx="0">
                  <c:v>Consumo de papelão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'Significância-processo-aspecto'!$I$4:$I$28</c:f>
              <c:numCache>
                <c:formatCode>General</c:formatCode>
                <c:ptCount val="24"/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F7-4E13-A555-585E1EC3E3C8}"/>
            </c:ext>
          </c:extLst>
        </c:ser>
        <c:ser>
          <c:idx val="8"/>
          <c:order val="8"/>
          <c:tx>
            <c:strRef>
              <c:f>'Significância-processo-aspecto'!$J$2:$J$3</c:f>
              <c:strCache>
                <c:ptCount val="1"/>
                <c:pt idx="0">
                  <c:v>Consumo de produto químico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'Significância-processo-aspecto'!$J$4:$J$28</c:f>
              <c:numCache>
                <c:formatCode>General</c:formatCode>
                <c:ptCount val="24"/>
                <c:pt idx="0">
                  <c:v>9</c:v>
                </c:pt>
                <c:pt idx="4">
                  <c:v>1.8</c:v>
                </c:pt>
                <c:pt idx="5">
                  <c:v>9</c:v>
                </c:pt>
                <c:pt idx="7">
                  <c:v>3.6</c:v>
                </c:pt>
                <c:pt idx="14">
                  <c:v>4.8000000000000007</c:v>
                </c:pt>
                <c:pt idx="2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F7-4E13-A555-585E1EC3E3C8}"/>
            </c:ext>
          </c:extLst>
        </c:ser>
        <c:ser>
          <c:idx val="9"/>
          <c:order val="9"/>
          <c:tx>
            <c:strRef>
              <c:f>'Significância-processo-aspecto'!$K$2:$K$3</c:f>
              <c:strCache>
                <c:ptCount val="1"/>
                <c:pt idx="0">
                  <c:v>Derramamento de produto químico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'Significância-processo-aspecto'!$K$4:$K$28</c:f>
              <c:numCache>
                <c:formatCode>General</c:formatCode>
                <c:ptCount val="24"/>
                <c:pt idx="5">
                  <c:v>1.2000000000000002</c:v>
                </c:pt>
                <c:pt idx="6">
                  <c:v>3</c:v>
                </c:pt>
                <c:pt idx="9">
                  <c:v>6</c:v>
                </c:pt>
                <c:pt idx="12">
                  <c:v>3</c:v>
                </c:pt>
                <c:pt idx="17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F7-4E13-A555-585E1EC3E3C8}"/>
            </c:ext>
          </c:extLst>
        </c:ser>
        <c:ser>
          <c:idx val="10"/>
          <c:order val="10"/>
          <c:tx>
            <c:strRef>
              <c:f>'Significância-processo-aspecto'!$L$2:$L$3</c:f>
              <c:strCache>
                <c:ptCount val="1"/>
                <c:pt idx="0">
                  <c:v>Descarte da embalagem do produto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'Significância-processo-aspecto'!$L$4:$L$28</c:f>
              <c:numCache>
                <c:formatCode>General</c:formatCode>
                <c:ptCount val="24"/>
                <c:pt idx="14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F7-4E13-A555-585E1EC3E3C8}"/>
            </c:ext>
          </c:extLst>
        </c:ser>
        <c:ser>
          <c:idx val="11"/>
          <c:order val="11"/>
          <c:tx>
            <c:strRef>
              <c:f>'Significância-processo-aspecto'!$M$2:$M$3</c:f>
              <c:strCache>
                <c:ptCount val="1"/>
                <c:pt idx="0">
                  <c:v>Descarte de amostras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'Significância-processo-aspecto'!$M$4:$M$28</c:f>
              <c:numCache>
                <c:formatCode>General</c:formatCode>
                <c:ptCount val="24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14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FF7-4E13-A555-585E1EC3E3C8}"/>
            </c:ext>
          </c:extLst>
        </c:ser>
        <c:ser>
          <c:idx val="12"/>
          <c:order val="12"/>
          <c:tx>
            <c:strRef>
              <c:f>'Significância-processo-aspecto'!$N$2:$N$3</c:f>
              <c:strCache>
                <c:ptCount val="1"/>
                <c:pt idx="0">
                  <c:v>Descarte de baterias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'Significância-processo-aspecto'!$N$4:$N$28</c:f>
              <c:numCache>
                <c:formatCode>General</c:formatCode>
                <c:ptCount val="24"/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F7-4E13-A555-585E1EC3E3C8}"/>
            </c:ext>
          </c:extLst>
        </c:ser>
        <c:ser>
          <c:idx val="13"/>
          <c:order val="13"/>
          <c:tx>
            <c:strRef>
              <c:f>'Significância-processo-aspecto'!$O$2:$O$3</c:f>
              <c:strCache>
                <c:ptCount val="1"/>
                <c:pt idx="0">
                  <c:v>Descarte de madeira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'Significância-processo-aspecto'!$O$4:$O$28</c:f>
              <c:numCache>
                <c:formatCode>General</c:formatCode>
                <c:ptCount val="24"/>
                <c:pt idx="1">
                  <c:v>9</c:v>
                </c:pt>
                <c:pt idx="13">
                  <c:v>1.8</c:v>
                </c:pt>
                <c:pt idx="15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FF7-4E13-A555-585E1EC3E3C8}"/>
            </c:ext>
          </c:extLst>
        </c:ser>
        <c:ser>
          <c:idx val="14"/>
          <c:order val="14"/>
          <c:tx>
            <c:strRef>
              <c:f>'Significância-processo-aspecto'!$P$2:$P$3</c:f>
              <c:strCache>
                <c:ptCount val="1"/>
                <c:pt idx="0">
                  <c:v>Descarte de partículas metálicas 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'Significância-processo-aspecto'!$P$4:$P$28</c:f>
              <c:numCache>
                <c:formatCode>General</c:formatCode>
                <c:ptCount val="24"/>
                <c:pt idx="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FF7-4E13-A555-585E1EC3E3C8}"/>
            </c:ext>
          </c:extLst>
        </c:ser>
        <c:ser>
          <c:idx val="15"/>
          <c:order val="15"/>
          <c:tx>
            <c:strRef>
              <c:f>'Significância-processo-aspecto'!$Q$2:$Q$3</c:f>
              <c:strCache>
                <c:ptCount val="1"/>
                <c:pt idx="0">
                  <c:v>Descarte de produto em processo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'Significância-processo-aspecto'!$Q$4:$Q$28</c:f>
              <c:numCache>
                <c:formatCode>General</c:formatCode>
                <c:ptCount val="24"/>
                <c:pt idx="0">
                  <c:v>1.8</c:v>
                </c:pt>
                <c:pt idx="8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FF7-4E13-A555-585E1EC3E3C8}"/>
            </c:ext>
          </c:extLst>
        </c:ser>
        <c:ser>
          <c:idx val="16"/>
          <c:order val="16"/>
          <c:tx>
            <c:strRef>
              <c:f>'Significância-processo-aspecto'!$R$2:$R$3</c:f>
              <c:strCache>
                <c:ptCount val="1"/>
                <c:pt idx="0">
                  <c:v>Descarte de produto fora de padrão (torra fora)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'Significância-processo-aspecto'!$R$4:$R$28</c:f>
              <c:numCache>
                <c:formatCode>General</c:formatCode>
                <c:ptCount val="24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FF7-4E13-A555-585E1EC3E3C8}"/>
            </c:ext>
          </c:extLst>
        </c:ser>
        <c:ser>
          <c:idx val="17"/>
          <c:order val="17"/>
          <c:tx>
            <c:strRef>
              <c:f>'Significância-processo-aspecto'!$S$2:$S$3</c:f>
              <c:strCache>
                <c:ptCount val="1"/>
                <c:pt idx="0">
                  <c:v>Descarte de produto vencido/devolvido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'Significância-processo-aspecto'!$S$4:$S$28</c:f>
              <c:numCache>
                <c:formatCode>General</c:formatCode>
                <c:ptCount val="24"/>
                <c:pt idx="14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FF7-4E13-A555-585E1EC3E3C8}"/>
            </c:ext>
          </c:extLst>
        </c:ser>
        <c:ser>
          <c:idx val="18"/>
          <c:order val="18"/>
          <c:tx>
            <c:strRef>
              <c:f>'Significância-processo-aspecto'!$T$2:$T$3</c:f>
              <c:strCache>
                <c:ptCount val="1"/>
                <c:pt idx="0">
                  <c:v>Emissão de fumaça preta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'Significância-processo-aspecto'!$T$4:$T$28</c:f>
              <c:numCache>
                <c:formatCode>General</c:formatCode>
                <c:ptCount val="24"/>
                <c:pt idx="5">
                  <c:v>3</c:v>
                </c:pt>
                <c:pt idx="10">
                  <c:v>0.60000000000000009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F7-4E13-A555-585E1EC3E3C8}"/>
            </c:ext>
          </c:extLst>
        </c:ser>
        <c:ser>
          <c:idx val="19"/>
          <c:order val="19"/>
          <c:tx>
            <c:strRef>
              <c:f>'Significância-processo-aspecto'!$U$2:$U$3</c:f>
              <c:strCache>
                <c:ptCount val="1"/>
                <c:pt idx="0">
                  <c:v>Emissão de gases e vapores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'Significância-processo-aspecto'!$U$4:$U$28</c:f>
              <c:numCache>
                <c:formatCode>General</c:formatCode>
                <c:ptCount val="24"/>
                <c:pt idx="0">
                  <c:v>15</c:v>
                </c:pt>
                <c:pt idx="2">
                  <c:v>6</c:v>
                </c:pt>
                <c:pt idx="4">
                  <c:v>3</c:v>
                </c:pt>
                <c:pt idx="5">
                  <c:v>1.2000000000000002</c:v>
                </c:pt>
                <c:pt idx="6">
                  <c:v>9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FF7-4E13-A555-585E1EC3E3C8}"/>
            </c:ext>
          </c:extLst>
        </c:ser>
        <c:ser>
          <c:idx val="20"/>
          <c:order val="20"/>
          <c:tx>
            <c:strRef>
              <c:f>'Significância-processo-aspecto'!$V$2:$V$3</c:f>
              <c:strCache>
                <c:ptCount val="1"/>
                <c:pt idx="0">
                  <c:v>Emissão de odor 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'Significância-processo-aspecto'!$V$4:$V$28</c:f>
              <c:numCache>
                <c:formatCode>General</c:formatCode>
                <c:ptCount val="24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FF7-4E13-A555-585E1EC3E3C8}"/>
            </c:ext>
          </c:extLst>
        </c:ser>
        <c:ser>
          <c:idx val="21"/>
          <c:order val="21"/>
          <c:tx>
            <c:strRef>
              <c:f>'Significância-processo-aspecto'!$W$2:$W$3</c:f>
              <c:strCache>
                <c:ptCount val="1"/>
                <c:pt idx="0">
                  <c:v>Emissão de particulados, cinzas ou poeiras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'Significância-processo-aspecto'!$W$4:$W$28</c:f>
              <c:numCache>
                <c:formatCode>General</c:formatCode>
                <c:ptCount val="24"/>
                <c:pt idx="0">
                  <c:v>81</c:v>
                </c:pt>
                <c:pt idx="1">
                  <c:v>117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FF7-4E13-A555-585E1EC3E3C8}"/>
            </c:ext>
          </c:extLst>
        </c:ser>
        <c:ser>
          <c:idx val="22"/>
          <c:order val="22"/>
          <c:tx>
            <c:strRef>
              <c:f>'Significância-processo-aspecto'!$X$2:$X$3</c:f>
              <c:strCache>
                <c:ptCount val="1"/>
                <c:pt idx="0">
                  <c:v>Emissão de ruído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'Significância-processo-aspecto'!$X$4:$X$28</c:f>
              <c:numCache>
                <c:formatCode>General</c:formatCode>
                <c:ptCount val="24"/>
                <c:pt idx="0">
                  <c:v>30</c:v>
                </c:pt>
                <c:pt idx="1">
                  <c:v>21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F7-4E13-A555-585E1EC3E3C8}"/>
            </c:ext>
          </c:extLst>
        </c:ser>
        <c:ser>
          <c:idx val="23"/>
          <c:order val="23"/>
          <c:tx>
            <c:strRef>
              <c:f>'Significância-processo-aspecto'!$Y$2:$Y$3</c:f>
              <c:strCache>
                <c:ptCount val="1"/>
                <c:pt idx="0">
                  <c:v>Geração de big bags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'Significância-processo-aspecto'!$Y$4:$Y$28</c:f>
              <c:numCache>
                <c:formatCode>General</c:formatCode>
                <c:ptCount val="24"/>
                <c:pt idx="1">
                  <c:v>6</c:v>
                </c:pt>
                <c:pt idx="21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FF7-4E13-A555-585E1EC3E3C8}"/>
            </c:ext>
          </c:extLst>
        </c:ser>
        <c:ser>
          <c:idx val="24"/>
          <c:order val="24"/>
          <c:tx>
            <c:strRef>
              <c:f>'Significância-processo-aspecto'!$Z$2:$Z$3</c:f>
              <c:strCache>
                <c:ptCount val="1"/>
                <c:pt idx="0">
                  <c:v>Geração de borra de café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'Significância-processo-aspecto'!$Z$4:$Z$28</c:f>
              <c:numCache>
                <c:formatCode>General</c:formatCode>
                <c:ptCount val="24"/>
                <c:pt idx="14">
                  <c:v>1.8</c:v>
                </c:pt>
                <c:pt idx="19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FF7-4E13-A555-585E1EC3E3C8}"/>
            </c:ext>
          </c:extLst>
        </c:ser>
        <c:ser>
          <c:idx val="25"/>
          <c:order val="25"/>
          <c:tx>
            <c:strRef>
              <c:f>'Significância-processo-aspecto'!$AA$2:$AA$3</c:f>
              <c:strCache>
                <c:ptCount val="1"/>
                <c:pt idx="0">
                  <c:v>Geração de calor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'Significância-processo-aspecto'!$AA$4:$AA$28</c:f>
              <c:numCache>
                <c:formatCode>General</c:formatCode>
                <c:ptCount val="24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FF7-4E13-A555-585E1EC3E3C8}"/>
            </c:ext>
          </c:extLst>
        </c:ser>
        <c:ser>
          <c:idx val="26"/>
          <c:order val="26"/>
          <c:tx>
            <c:strRef>
              <c:f>'Significância-processo-aspecto'!$AB$2:$AB$3</c:f>
              <c:strCache>
                <c:ptCount val="1"/>
                <c:pt idx="0">
                  <c:v>Geração de cavaco e sucata metálica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'Significância-processo-aspecto'!$AB$4:$AB$28</c:f>
              <c:numCache>
                <c:formatCode>General</c:formatCode>
                <c:ptCount val="24"/>
                <c:pt idx="5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FF7-4E13-A555-585E1EC3E3C8}"/>
            </c:ext>
          </c:extLst>
        </c:ser>
        <c:ser>
          <c:idx val="27"/>
          <c:order val="27"/>
          <c:tx>
            <c:strRef>
              <c:f>'Significância-processo-aspecto'!$AC$2:$AC$3</c:f>
              <c:strCache>
                <c:ptCount val="1"/>
                <c:pt idx="0">
                  <c:v>Geração de efluentes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'Significância-processo-aspecto'!$AC$4:$AC$28</c:f>
              <c:numCache>
                <c:formatCode>General</c:formatCode>
                <c:ptCount val="24"/>
                <c:pt idx="4">
                  <c:v>1.2000000000000002</c:v>
                </c:pt>
                <c:pt idx="6">
                  <c:v>9</c:v>
                </c:pt>
                <c:pt idx="7">
                  <c:v>10.200000000000001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FF7-4E13-A555-585E1EC3E3C8}"/>
            </c:ext>
          </c:extLst>
        </c:ser>
        <c:ser>
          <c:idx val="28"/>
          <c:order val="28"/>
          <c:tx>
            <c:strRef>
              <c:f>'Significância-processo-aspecto'!$AD$2:$AD$3</c:f>
              <c:strCache>
                <c:ptCount val="1"/>
                <c:pt idx="0">
                  <c:v>Geração de embalagens (papelão, filme strech)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'Significância-processo-aspecto'!$AD$4:$AD$28</c:f>
              <c:numCache>
                <c:formatCode>General</c:formatCode>
                <c:ptCount val="24"/>
                <c:pt idx="13">
                  <c:v>3.6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FF7-4E13-A555-585E1EC3E3C8}"/>
            </c:ext>
          </c:extLst>
        </c:ser>
        <c:ser>
          <c:idx val="29"/>
          <c:order val="29"/>
          <c:tx>
            <c:strRef>
              <c:f>'Significância-processo-aspecto'!$AE$2:$AE$3</c:f>
              <c:strCache>
                <c:ptCount val="1"/>
                <c:pt idx="0">
                  <c:v>Geração de embalagens contaminadas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'Significância-processo-aspecto'!$AE$4:$AE$28</c:f>
              <c:numCache>
                <c:formatCode>General</c:formatCode>
                <c:ptCount val="24"/>
                <c:pt idx="7">
                  <c:v>3.6</c:v>
                </c:pt>
                <c:pt idx="19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FF7-4E13-A555-585E1EC3E3C8}"/>
            </c:ext>
          </c:extLst>
        </c:ser>
        <c:ser>
          <c:idx val="30"/>
          <c:order val="30"/>
          <c:tx>
            <c:strRef>
              <c:f>'Significância-processo-aspecto'!$AF$2:$AF$3</c:f>
              <c:strCache>
                <c:ptCount val="1"/>
                <c:pt idx="0">
                  <c:v>Geração de EPI contaminado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'Significância-processo-aspecto'!$AF$4:$AF$28</c:f>
              <c:numCache>
                <c:formatCode>General</c:formatCode>
                <c:ptCount val="24"/>
                <c:pt idx="4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FF7-4E13-A555-585E1EC3E3C8}"/>
            </c:ext>
          </c:extLst>
        </c:ser>
        <c:ser>
          <c:idx val="31"/>
          <c:order val="31"/>
          <c:tx>
            <c:strRef>
              <c:f>'Significância-processo-aspecto'!$AG$2:$AG$3</c:f>
              <c:strCache>
                <c:ptCount val="1"/>
                <c:pt idx="0">
                  <c:v>Geração de esgoto doméstico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'Significância-processo-aspecto'!$AG$4:$AG$28</c:f>
              <c:numCache>
                <c:formatCode>General</c:formatCode>
                <c:ptCount val="24"/>
                <c:pt idx="4">
                  <c:v>6</c:v>
                </c:pt>
                <c:pt idx="18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FF7-4E13-A555-585E1EC3E3C8}"/>
            </c:ext>
          </c:extLst>
        </c:ser>
        <c:ser>
          <c:idx val="32"/>
          <c:order val="32"/>
          <c:tx>
            <c:strRef>
              <c:f>'Significância-processo-aspecto'!$AH$2:$AH$3</c:f>
              <c:strCache>
                <c:ptCount val="1"/>
                <c:pt idx="0">
                  <c:v>Geração de lâmpadas de mercúrio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'Significância-processo-aspecto'!$AH$4:$AH$28</c:f>
              <c:numCache>
                <c:formatCode>General</c:formatCode>
                <c:ptCount val="24"/>
                <c:pt idx="5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FF7-4E13-A555-585E1EC3E3C8}"/>
            </c:ext>
          </c:extLst>
        </c:ser>
        <c:ser>
          <c:idx val="33"/>
          <c:order val="33"/>
          <c:tx>
            <c:strRef>
              <c:f>'Significância-processo-aspecto'!$AI$2:$AI$3</c:f>
              <c:strCache>
                <c:ptCount val="1"/>
                <c:pt idx="0">
                  <c:v>Geração de óleos e graxas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'Significância-processo-aspecto'!$AI$4:$AI$28</c:f>
              <c:numCache>
                <c:formatCode>General</c:formatCode>
                <c:ptCount val="24"/>
                <c:pt idx="5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FF7-4E13-A555-585E1EC3E3C8}"/>
            </c:ext>
          </c:extLst>
        </c:ser>
        <c:ser>
          <c:idx val="34"/>
          <c:order val="34"/>
          <c:tx>
            <c:strRef>
              <c:f>'Significância-processo-aspecto'!$AJ$2:$AJ$3</c:f>
              <c:strCache>
                <c:ptCount val="1"/>
                <c:pt idx="0">
                  <c:v>Geração de panos contaminados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'Significância-processo-aspecto'!$AJ$4:$AJ$28</c:f>
              <c:numCache>
                <c:formatCode>General</c:formatCode>
                <c:ptCount val="24"/>
                <c:pt idx="5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FF7-4E13-A555-585E1EC3E3C8}"/>
            </c:ext>
          </c:extLst>
        </c:ser>
        <c:ser>
          <c:idx val="35"/>
          <c:order val="35"/>
          <c:tx>
            <c:strRef>
              <c:f>'Significância-processo-aspecto'!$AK$2:$AK$3</c:f>
              <c:strCache>
                <c:ptCount val="1"/>
                <c:pt idx="0">
                  <c:v>Geração de película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'Significância-processo-aspecto'!$AK$4:$AK$28</c:f>
              <c:numCache>
                <c:formatCode>General</c:formatCode>
                <c:ptCount val="24"/>
                <c:pt idx="0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FF7-4E13-A555-585E1EC3E3C8}"/>
            </c:ext>
          </c:extLst>
        </c:ser>
        <c:ser>
          <c:idx val="36"/>
          <c:order val="36"/>
          <c:tx>
            <c:strRef>
              <c:f>'Significância-processo-aspecto'!$AL$2:$AL$3</c:f>
              <c:strCache>
                <c:ptCount val="1"/>
                <c:pt idx="0">
                  <c:v>Geração de resíduo Classe I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'Significância-processo-aspecto'!$AL$4:$AL$28</c:f>
              <c:numCache>
                <c:formatCode>General</c:formatCode>
                <c:ptCount val="24"/>
                <c:pt idx="0">
                  <c:v>1.8</c:v>
                </c:pt>
                <c:pt idx="4">
                  <c:v>0.60000000000000009</c:v>
                </c:pt>
                <c:pt idx="5">
                  <c:v>1.2000000000000002</c:v>
                </c:pt>
                <c:pt idx="7">
                  <c:v>1.8</c:v>
                </c:pt>
                <c:pt idx="9">
                  <c:v>3</c:v>
                </c:pt>
                <c:pt idx="17">
                  <c:v>1.2000000000000002</c:v>
                </c:pt>
                <c:pt idx="20">
                  <c:v>1.2000000000000002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FF7-4E13-A555-585E1EC3E3C8}"/>
            </c:ext>
          </c:extLst>
        </c:ser>
        <c:ser>
          <c:idx val="37"/>
          <c:order val="37"/>
          <c:tx>
            <c:strRef>
              <c:f>'Significância-processo-aspecto'!$AM$2:$AM$3</c:f>
              <c:strCache>
                <c:ptCount val="1"/>
                <c:pt idx="0">
                  <c:v>Geração de resíduo de ajardinamento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'Significância-processo-aspecto'!$AM$4:$AM$28</c:f>
              <c:numCache>
                <c:formatCode>General</c:formatCode>
                <c:ptCount val="24"/>
                <c:pt idx="3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FF7-4E13-A555-585E1EC3E3C8}"/>
            </c:ext>
          </c:extLst>
        </c:ser>
        <c:ser>
          <c:idx val="38"/>
          <c:order val="38"/>
          <c:tx>
            <c:strRef>
              <c:f>'Significância-processo-aspecto'!$AN$2:$AN$3</c:f>
              <c:strCache>
                <c:ptCount val="1"/>
                <c:pt idx="0">
                  <c:v>Geração de resíduo orgânico 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'Significância-processo-aspecto'!$AN$4:$AN$28</c:f>
              <c:numCache>
                <c:formatCode>General</c:formatCode>
                <c:ptCount val="24"/>
                <c:pt idx="1">
                  <c:v>3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FF7-4E13-A555-585E1EC3E3C8}"/>
            </c:ext>
          </c:extLst>
        </c:ser>
        <c:ser>
          <c:idx val="39"/>
          <c:order val="39"/>
          <c:tx>
            <c:strRef>
              <c:f>'Significância-processo-aspecto'!$AO$2:$AO$3</c:f>
              <c:strCache>
                <c:ptCount val="1"/>
                <c:pt idx="0">
                  <c:v>Geração de resíduos classificados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'Significância-processo-aspecto'!$AO$4:$AO$28</c:f>
              <c:numCache>
                <c:formatCode>General</c:formatCode>
                <c:ptCount val="24"/>
                <c:pt idx="7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FF7-4E13-A555-585E1EC3E3C8}"/>
            </c:ext>
          </c:extLst>
        </c:ser>
        <c:ser>
          <c:idx val="40"/>
          <c:order val="40"/>
          <c:tx>
            <c:strRef>
              <c:f>'Significância-processo-aspecto'!$AP$2:$AP$3</c:f>
              <c:strCache>
                <c:ptCount val="1"/>
                <c:pt idx="0">
                  <c:v>Geração de resíduos da construção civil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'Significância-processo-aspecto'!$AP$4:$AP$28</c:f>
              <c:numCache>
                <c:formatCode>General</c:formatCode>
                <c:ptCount val="24"/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FF7-4E13-A555-585E1EC3E3C8}"/>
            </c:ext>
          </c:extLst>
        </c:ser>
        <c:ser>
          <c:idx val="41"/>
          <c:order val="41"/>
          <c:tx>
            <c:strRef>
              <c:f>'Significância-processo-aspecto'!$AQ$2:$AQ$3</c:f>
              <c:strCache>
                <c:ptCount val="1"/>
                <c:pt idx="0">
                  <c:v>Geração de resíduos de solda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'Significância-processo-aspecto'!$AQ$4:$AQ$28</c:f>
              <c:numCache>
                <c:formatCode>General</c:formatCode>
                <c:ptCount val="24"/>
                <c:pt idx="5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FF7-4E13-A555-585E1EC3E3C8}"/>
            </c:ext>
          </c:extLst>
        </c:ser>
        <c:ser>
          <c:idx val="42"/>
          <c:order val="42"/>
          <c:tx>
            <c:strRef>
              <c:f>'Significância-processo-aspecto'!$AR$2:$AR$3</c:f>
              <c:strCache>
                <c:ptCount val="1"/>
                <c:pt idx="0">
                  <c:v>Geração de resíduos de varrição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'Significância-processo-aspecto'!$AR$4:$AR$28</c:f>
              <c:numCache>
                <c:formatCode>General</c:formatCode>
                <c:ptCount val="24"/>
                <c:pt idx="7">
                  <c:v>2.4000000000000004</c:v>
                </c:pt>
                <c:pt idx="8">
                  <c:v>1.8</c:v>
                </c:pt>
                <c:pt idx="13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FF7-4E13-A555-585E1EC3E3C8}"/>
            </c:ext>
          </c:extLst>
        </c:ser>
        <c:ser>
          <c:idx val="43"/>
          <c:order val="43"/>
          <c:tx>
            <c:strRef>
              <c:f>'Significância-processo-aspecto'!$AS$2:$AS$3</c:f>
              <c:strCache>
                <c:ptCount val="1"/>
                <c:pt idx="0">
                  <c:v>Geração de resíduos eletrônicos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'Significância-processo-aspecto'!$AS$4:$AS$28</c:f>
              <c:numCache>
                <c:formatCode>General</c:formatCode>
                <c:ptCount val="24"/>
                <c:pt idx="4">
                  <c:v>1.8000000000000003</c:v>
                </c:pt>
                <c:pt idx="20">
                  <c:v>0.30000000000000004</c:v>
                </c:pt>
                <c:pt idx="23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FF7-4E13-A555-585E1EC3E3C8}"/>
            </c:ext>
          </c:extLst>
        </c:ser>
        <c:ser>
          <c:idx val="44"/>
          <c:order val="44"/>
          <c:tx>
            <c:strRef>
              <c:f>'Significância-processo-aspecto'!$AT$2:$AT$3</c:f>
              <c:strCache>
                <c:ptCount val="1"/>
                <c:pt idx="0">
                  <c:v>Geração de resíduos não recicláveis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'Significância-processo-aspecto'!$AT$4:$AT$28</c:f>
              <c:numCache>
                <c:formatCode>General</c:formatCode>
                <c:ptCount val="24"/>
                <c:pt idx="4">
                  <c:v>10.199999999999999</c:v>
                </c:pt>
                <c:pt idx="9">
                  <c:v>3</c:v>
                </c:pt>
                <c:pt idx="17">
                  <c:v>3.6</c:v>
                </c:pt>
                <c:pt idx="20">
                  <c:v>1.8</c:v>
                </c:pt>
                <c:pt idx="21">
                  <c:v>4.8</c:v>
                </c:pt>
                <c:pt idx="22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FF7-4E13-A555-585E1EC3E3C8}"/>
            </c:ext>
          </c:extLst>
        </c:ser>
        <c:ser>
          <c:idx val="45"/>
          <c:order val="45"/>
          <c:tx>
            <c:strRef>
              <c:f>'Significância-processo-aspecto'!$AU$2:$AU$3</c:f>
              <c:strCache>
                <c:ptCount val="1"/>
                <c:pt idx="0">
                  <c:v>Geração de resíduos perigosos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'Significância-processo-aspecto'!$AU$4:$AU$28</c:f>
              <c:numCache>
                <c:formatCode>General</c:formatCode>
                <c:ptCount val="24"/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FF7-4E13-A555-585E1EC3E3C8}"/>
            </c:ext>
          </c:extLst>
        </c:ser>
        <c:ser>
          <c:idx val="46"/>
          <c:order val="46"/>
          <c:tx>
            <c:strRef>
              <c:f>'Significância-processo-aspecto'!$AV$2:$AV$3</c:f>
              <c:strCache>
                <c:ptCount val="1"/>
                <c:pt idx="0">
                  <c:v>Geração de resíduos recicláveis 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'Significância-processo-aspecto'!$AV$4:$AV$28</c:f>
              <c:numCache>
                <c:formatCode>General</c:formatCode>
                <c:ptCount val="24"/>
                <c:pt idx="2">
                  <c:v>1.8</c:v>
                </c:pt>
                <c:pt idx="4">
                  <c:v>5.4</c:v>
                </c:pt>
                <c:pt idx="8">
                  <c:v>1.8</c:v>
                </c:pt>
                <c:pt idx="9">
                  <c:v>15</c:v>
                </c:pt>
                <c:pt idx="14">
                  <c:v>1.8</c:v>
                </c:pt>
                <c:pt idx="17">
                  <c:v>1.8</c:v>
                </c:pt>
                <c:pt idx="18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FF7-4E13-A555-585E1EC3E3C8}"/>
            </c:ext>
          </c:extLst>
        </c:ser>
        <c:ser>
          <c:idx val="47"/>
          <c:order val="47"/>
          <c:tx>
            <c:strRef>
              <c:f>'Significância-processo-aspecto'!$AW$2:$AW$3</c:f>
              <c:strCache>
                <c:ptCount val="1"/>
                <c:pt idx="0">
                  <c:v>Geração de tubetes de PVC 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'Significância-processo-aspecto'!$AW$4:$AW$28</c:f>
              <c:numCache>
                <c:formatCode>General</c:formatCode>
                <c:ptCount val="24"/>
                <c:pt idx="15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CFF7-4E13-A555-585E1EC3E3C8}"/>
            </c:ext>
          </c:extLst>
        </c:ser>
        <c:ser>
          <c:idx val="48"/>
          <c:order val="48"/>
          <c:tx>
            <c:strRef>
              <c:f>'Significância-processo-aspecto'!$AX$2:$AX$3</c:f>
              <c:strCache>
                <c:ptCount val="1"/>
                <c:pt idx="0">
                  <c:v>Perda de grãos 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'Significância-processo-aspecto'!$AX$4:$AX$28</c:f>
              <c:numCache>
                <c:formatCode>General</c:formatCode>
                <c:ptCount val="24"/>
                <c:pt idx="1">
                  <c:v>3.3</c:v>
                </c:pt>
                <c:pt idx="2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FF7-4E13-A555-585E1EC3E3C8}"/>
            </c:ext>
          </c:extLst>
        </c:ser>
        <c:ser>
          <c:idx val="49"/>
          <c:order val="49"/>
          <c:tx>
            <c:strRef>
              <c:f>'Significância-processo-aspecto'!$AY$2:$AY$3</c:f>
              <c:strCache>
                <c:ptCount val="1"/>
                <c:pt idx="0">
                  <c:v>Recolhimento de embalagens do produto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'Significância-processo-aspecto'!$AY$4:$AY$28</c:f>
              <c:numCache>
                <c:formatCode>General</c:formatCode>
                <c:ptCount val="24"/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FF7-4E13-A555-585E1EC3E3C8}"/>
            </c:ext>
          </c:extLst>
        </c:ser>
        <c:ser>
          <c:idx val="50"/>
          <c:order val="50"/>
          <c:tx>
            <c:strRef>
              <c:f>'Significância-processo-aspecto'!$AZ$2:$AZ$3</c:f>
              <c:strCache>
                <c:ptCount val="1"/>
                <c:pt idx="0">
                  <c:v>Reuso de água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'Significância-processo-aspecto'!$AZ$4:$AZ$28</c:f>
              <c:numCache>
                <c:formatCode>General</c:formatCode>
                <c:ptCount val="24"/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FF7-4E13-A555-585E1EC3E3C8}"/>
            </c:ext>
          </c:extLst>
        </c:ser>
        <c:ser>
          <c:idx val="51"/>
          <c:order val="51"/>
          <c:tx>
            <c:strRef>
              <c:f>'Significância-processo-aspecto'!$BA$2:$BA$3</c:f>
              <c:strCache>
                <c:ptCount val="1"/>
                <c:pt idx="0">
                  <c:v>Risco de incêndio e explosão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'Significância-processo-aspecto'!$BA$4:$BA$28</c:f>
              <c:numCache>
                <c:formatCode>General</c:formatCode>
                <c:ptCount val="24"/>
                <c:pt idx="0">
                  <c:v>5.4</c:v>
                </c:pt>
                <c:pt idx="1">
                  <c:v>6.3</c:v>
                </c:pt>
                <c:pt idx="2">
                  <c:v>0.60000000000000009</c:v>
                </c:pt>
                <c:pt idx="5">
                  <c:v>1.2000000000000002</c:v>
                </c:pt>
                <c:pt idx="12">
                  <c:v>15</c:v>
                </c:pt>
                <c:pt idx="17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CFF7-4E13-A555-585E1EC3E3C8}"/>
            </c:ext>
          </c:extLst>
        </c:ser>
        <c:ser>
          <c:idx val="52"/>
          <c:order val="52"/>
          <c:tx>
            <c:strRef>
              <c:f>'Significância-processo-aspecto'!$BB$2:$BB$3</c:f>
              <c:strCache>
                <c:ptCount val="1"/>
                <c:pt idx="0">
                  <c:v>Tombamento de carga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'Significância-processo-aspecto'!$BB$4:$BB$28</c:f>
              <c:numCache>
                <c:formatCode>General</c:formatCode>
                <c:ptCount val="24"/>
                <c:pt idx="6">
                  <c:v>3.6</c:v>
                </c:pt>
                <c:pt idx="22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CFF7-4E13-A555-585E1EC3E3C8}"/>
            </c:ext>
          </c:extLst>
        </c:ser>
        <c:ser>
          <c:idx val="53"/>
          <c:order val="53"/>
          <c:tx>
            <c:strRef>
              <c:f>'Significância-processo-aspecto'!$BC$2:$BC$3</c:f>
              <c:strCache>
                <c:ptCount val="1"/>
                <c:pt idx="0">
                  <c:v>Uso de produto de limpeza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'Significância-processo-aspecto'!$BC$4:$BC$28</c:f>
              <c:numCache>
                <c:formatCode>General</c:formatCode>
                <c:ptCount val="24"/>
                <c:pt idx="4">
                  <c:v>6</c:v>
                </c:pt>
                <c:pt idx="7">
                  <c:v>4.8000000000000007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CFF7-4E13-A555-585E1EC3E3C8}"/>
            </c:ext>
          </c:extLst>
        </c:ser>
        <c:ser>
          <c:idx val="54"/>
          <c:order val="54"/>
          <c:tx>
            <c:strRef>
              <c:f>'Significância-processo-aspecto'!$BD$2:$BD$3</c:f>
              <c:strCache>
                <c:ptCount val="1"/>
                <c:pt idx="0">
                  <c:v>Uso de tintas para impressora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'Significância-processo-aspecto'!$BD$4:$BD$28</c:f>
              <c:numCache>
                <c:formatCode>General</c:formatCode>
                <c:ptCount val="24"/>
                <c:pt idx="4">
                  <c:v>6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CFF7-4E13-A555-585E1EC3E3C8}"/>
            </c:ext>
          </c:extLst>
        </c:ser>
        <c:ser>
          <c:idx val="55"/>
          <c:order val="55"/>
          <c:tx>
            <c:strRef>
              <c:f>'Significância-processo-aspecto'!$BE$2:$BE$3</c:f>
              <c:strCache>
                <c:ptCount val="1"/>
                <c:pt idx="0">
                  <c:v>Vazamento de óleo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'Significância-processo-aspecto'!$A$4:$A$28</c:f>
              <c:strCache>
                <c:ptCount val="24"/>
                <c:pt idx="0">
                  <c:v>Torrefação</c:v>
                </c:pt>
                <c:pt idx="1">
                  <c:v> Café cru</c:v>
                </c:pt>
                <c:pt idx="2">
                  <c:v>Moagem de café</c:v>
                </c:pt>
                <c:pt idx="3">
                  <c:v>Área externa </c:v>
                </c:pt>
                <c:pt idx="4">
                  <c:v>Geral </c:v>
                </c:pt>
                <c:pt idx="5">
                  <c:v>Manutenção </c:v>
                </c:pt>
                <c:pt idx="6">
                  <c:v>Logistica</c:v>
                </c:pt>
                <c:pt idx="7">
                  <c:v>Limpeza Terceirizada</c:v>
                </c:pt>
                <c:pt idx="8">
                  <c:v>Empacotamento </c:v>
                </c:pt>
                <c:pt idx="9">
                  <c:v>Almoxarifado </c:v>
                </c:pt>
                <c:pt idx="10">
                  <c:v>Responsabilidade Corporativa</c:v>
                </c:pt>
                <c:pt idx="11">
                  <c:v>Torrefação, Moagem, Café Cru</c:v>
                </c:pt>
                <c:pt idx="12">
                  <c:v>Área de inflamáveis </c:v>
                </c:pt>
                <c:pt idx="13">
                  <c:v>Logistica </c:v>
                </c:pt>
                <c:pt idx="14">
                  <c:v>Laboratório</c:v>
                </c:pt>
                <c:pt idx="15">
                  <c:v>Paletização </c:v>
                </c:pt>
                <c:pt idx="16">
                  <c:v>Portaria </c:v>
                </c:pt>
                <c:pt idx="17">
                  <c:v>Área de resíduos</c:v>
                </c:pt>
                <c:pt idx="18">
                  <c:v>Portaria / Recepção</c:v>
                </c:pt>
                <c:pt idx="19">
                  <c:v>Refeitório</c:v>
                </c:pt>
                <c:pt idx="20">
                  <c:v>Portaria</c:v>
                </c:pt>
                <c:pt idx="21">
                  <c:v>Empacotamento</c:v>
                </c:pt>
                <c:pt idx="22">
                  <c:v>Meio Ambiente</c:v>
                </c:pt>
                <c:pt idx="23">
                  <c:v>Área externa / Galpão</c:v>
                </c:pt>
              </c:strCache>
            </c:strRef>
          </c:cat>
          <c:val>
            <c:numRef>
              <c:f>'Significância-processo-aspecto'!$BE$4:$BE$28</c:f>
              <c:numCache>
                <c:formatCode>General</c:formatCode>
                <c:ptCount val="24"/>
                <c:pt idx="0">
                  <c:v>0.60000000000000009</c:v>
                </c:pt>
                <c:pt idx="1">
                  <c:v>11.7</c:v>
                </c:pt>
                <c:pt idx="2">
                  <c:v>0.60000000000000009</c:v>
                </c:pt>
                <c:pt idx="5">
                  <c:v>7.2</c:v>
                </c:pt>
                <c:pt idx="6">
                  <c:v>6</c:v>
                </c:pt>
                <c:pt idx="8">
                  <c:v>3</c:v>
                </c:pt>
                <c:pt idx="9">
                  <c:v>4.5</c:v>
                </c:pt>
                <c:pt idx="17">
                  <c:v>0.60000000000000009</c:v>
                </c:pt>
                <c:pt idx="20">
                  <c:v>0.60000000000000009</c:v>
                </c:pt>
                <c:pt idx="23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CFF7-4E13-A555-585E1EC3E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177759"/>
        <c:axId val="261180255"/>
      </c:barChart>
      <c:catAx>
        <c:axId val="26117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180255"/>
        <c:crosses val="autoZero"/>
        <c:auto val="1"/>
        <c:lblAlgn val="ctr"/>
        <c:lblOffset val="100"/>
        <c:noMultiLvlLbl val="0"/>
      </c:catAx>
      <c:valAx>
        <c:axId val="2611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17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5C2B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F$18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Radio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Radio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52912</xdr:colOff>
      <xdr:row>0</xdr:row>
      <xdr:rowOff>88901</xdr:rowOff>
    </xdr:from>
    <xdr:to>
      <xdr:col>1</xdr:col>
      <xdr:colOff>1097155</xdr:colOff>
      <xdr:row>0</xdr:row>
      <xdr:rowOff>882657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2" y="88901"/>
          <a:ext cx="1071038" cy="800106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47272</xdr:colOff>
          <xdr:row>5</xdr:row>
          <xdr:rowOff>100895</xdr:rowOff>
        </xdr:from>
        <xdr:to>
          <xdr:col>10</xdr:col>
          <xdr:colOff>718255</xdr:colOff>
          <xdr:row>15</xdr:row>
          <xdr:rowOff>360517</xdr:rowOff>
        </xdr:to>
        <xdr:grpSp>
          <xdr:nvGrpSpPr>
            <xdr:cNvPr id="8" name="Group 73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63383" y="1596673"/>
              <a:ext cx="3196872" cy="3279400"/>
              <a:chOff x="0" y="476"/>
              <a:chExt cx="3090333" cy="4798009"/>
            </a:xfrm>
          </xdr:grpSpPr>
          <xdr:sp macro="" textlink="">
            <xdr:nvSpPr>
              <xdr:cNvPr id="5127" name="Option Button 7" hidden="1">
                <a:extLst>
                  <a:ext uri="{63B3BB69-23CF-44E3-9099-C40C66FF867C}">
                    <a14:compatExt spid="_x0000_s5127"/>
                  </a:ext>
                  <a:ext uri="{FF2B5EF4-FFF2-40B4-BE49-F238E27FC236}">
                    <a16:creationId xmlns:a16="http://schemas.microsoft.com/office/drawing/2014/main" id="{00000000-0008-0000-0100-000007140000}"/>
                  </a:ext>
                </a:extLst>
              </xdr:cNvPr>
              <xdr:cNvSpPr/>
            </xdr:nvSpPr>
            <xdr:spPr bwMode="auto">
              <a:xfrm>
                <a:off x="3090333" y="4682113"/>
                <a:ext cx="0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28" name="Option Button 8" hidden="1">
                <a:extLst>
                  <a:ext uri="{63B3BB69-23CF-44E3-9099-C40C66FF867C}">
                    <a14:compatExt spid="_x0000_s5128"/>
                  </a:ext>
                  <a:ext uri="{FF2B5EF4-FFF2-40B4-BE49-F238E27FC236}">
                    <a16:creationId xmlns:a16="http://schemas.microsoft.com/office/drawing/2014/main" id="{00000000-0008-0000-0100-000008140000}"/>
                  </a:ext>
                </a:extLst>
              </xdr:cNvPr>
              <xdr:cNvSpPr/>
            </xdr:nvSpPr>
            <xdr:spPr bwMode="auto">
              <a:xfrm>
                <a:off x="3090333" y="4711330"/>
                <a:ext cx="0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29" name="Option Button 9" hidden="1">
                <a:extLst>
                  <a:ext uri="{63B3BB69-23CF-44E3-9099-C40C66FF867C}">
                    <a14:compatExt spid="_x0000_s5129"/>
                  </a:ext>
                  <a:ext uri="{FF2B5EF4-FFF2-40B4-BE49-F238E27FC236}">
                    <a16:creationId xmlns:a16="http://schemas.microsoft.com/office/drawing/2014/main" id="{00000000-0008-0000-0100-000009140000}"/>
                  </a:ext>
                </a:extLst>
              </xdr:cNvPr>
              <xdr:cNvSpPr/>
            </xdr:nvSpPr>
            <xdr:spPr bwMode="auto">
              <a:xfrm>
                <a:off x="3090333" y="4740537"/>
                <a:ext cx="0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30" name="Option Button 10" hidden="1">
                <a:extLst>
                  <a:ext uri="{63B3BB69-23CF-44E3-9099-C40C66FF867C}">
                    <a14:compatExt spid="_x0000_s5130"/>
                  </a:ext>
                  <a:ext uri="{FF2B5EF4-FFF2-40B4-BE49-F238E27FC236}">
                    <a16:creationId xmlns:a16="http://schemas.microsoft.com/office/drawing/2014/main" id="{00000000-0008-0000-0100-00000A140000}"/>
                  </a:ext>
                </a:extLst>
              </xdr:cNvPr>
              <xdr:cNvSpPr/>
            </xdr:nvSpPr>
            <xdr:spPr bwMode="auto">
              <a:xfrm>
                <a:off x="3090333" y="4768760"/>
                <a:ext cx="0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31" name="Option Button 11" hidden="1">
                <a:extLst>
                  <a:ext uri="{63B3BB69-23CF-44E3-9099-C40C66FF867C}">
                    <a14:compatExt spid="_x0000_s5131"/>
                  </a:ext>
                  <a:ext uri="{FF2B5EF4-FFF2-40B4-BE49-F238E27FC236}">
                    <a16:creationId xmlns:a16="http://schemas.microsoft.com/office/drawing/2014/main" id="{00000000-0008-0000-0100-00000B140000}"/>
                  </a:ext>
                </a:extLst>
              </xdr:cNvPr>
              <xdr:cNvSpPr/>
            </xdr:nvSpPr>
            <xdr:spPr bwMode="auto">
              <a:xfrm>
                <a:off x="3090333" y="4798463"/>
                <a:ext cx="0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32" name="Option Button 12" hidden="1">
                <a:extLst>
                  <a:ext uri="{63B3BB69-23CF-44E3-9099-C40C66FF867C}">
                    <a14:compatExt spid="_x0000_s5132"/>
                  </a:ext>
                  <a:ext uri="{FF2B5EF4-FFF2-40B4-BE49-F238E27FC236}">
                    <a16:creationId xmlns:a16="http://schemas.microsoft.com/office/drawing/2014/main" id="{00000000-0008-0000-0100-00000C140000}"/>
                  </a:ext>
                </a:extLst>
              </xdr:cNvPr>
              <xdr:cNvSpPr/>
            </xdr:nvSpPr>
            <xdr:spPr bwMode="auto">
              <a:xfrm>
                <a:off x="0" y="476"/>
                <a:ext cx="0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66675</xdr:colOff>
      <xdr:row>0</xdr:row>
      <xdr:rowOff>80961</xdr:rowOff>
    </xdr:from>
    <xdr:to>
      <xdr:col>78</xdr:col>
      <xdr:colOff>276225</xdr:colOff>
      <xdr:row>16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ffeeandtea.sharepoint.com/Users/nikita.neverov/OneDrive%20-%20JACOBS%20DOUWE%20EGBERTS%20(JDE)/Desktop/Copy%20of%20RA%20meth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isk Assessment Method"/>
      <sheetName val="List of Non Routine Activities"/>
      <sheetName val="ART Tool"/>
      <sheetName val="MAC Tool"/>
      <sheetName val="Эргономика сводная"/>
      <sheetName val="Action Plan"/>
      <sheetName val="Pareto  (2)"/>
      <sheetName val="Risk Assessment ID Lookup"/>
      <sheetName val="Hazard Drop Downs "/>
      <sheetName val="Data"/>
      <sheetName val="RA Backup Sheet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S4" t="str">
            <v>Организационные физические риски</v>
          </cell>
        </row>
        <row r="5">
          <cell r="S5" t="str">
            <v>Механические опасности и риски</v>
          </cell>
        </row>
        <row r="6">
          <cell r="S6" t="str">
            <v>Риск падения</v>
          </cell>
        </row>
        <row r="7">
          <cell r="S7" t="str">
            <v>Риски связанные с внезапным выпуском энергии</v>
          </cell>
        </row>
        <row r="8">
          <cell r="S8" t="str">
            <v>Риски связанные с перемещением транспорта</v>
          </cell>
        </row>
        <row r="9">
          <cell r="S9" t="str">
            <v>Рабочая среда эргономика</v>
          </cell>
        </row>
        <row r="10">
          <cell r="S10" t="str">
            <v>Риски связанные с отравлением токсичных веществ</v>
          </cell>
        </row>
        <row r="11">
          <cell r="S11" t="str">
            <v>Риски которые могут возникнуть извне</v>
          </cell>
        </row>
      </sheetData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ábio" refreshedDate="44322.699320023145" createdVersion="7" refreshedVersion="7" minRefreshableVersion="3" recordCount="184" xr:uid="{1C295EED-351E-468E-BBE8-F762D4E3F623}">
  <cacheSource type="worksheet">
    <worksheetSource ref="C3:Z143" sheet="LAIA"/>
  </cacheSource>
  <cacheFields count="24">
    <cacheField name="NOME ÁREA/ PROCESSO" numFmtId="0">
      <sharedItems count="24">
        <s v=" Café cru"/>
        <s v="Almoxarifado "/>
        <s v="Área de inflamáveis "/>
        <s v="Área de resíduos"/>
        <s v="Área externa "/>
        <s v="Área externa / Galpão"/>
        <s v="Empacotamento"/>
        <s v="Empacotamento "/>
        <s v="Geral "/>
        <s v="Laboratório"/>
        <s v="Limpeza Terceirizada"/>
        <s v="Logistica"/>
        <s v="Logistica "/>
        <s v="Manutenção "/>
        <s v="Meio Ambiente"/>
        <s v="Moagem de café"/>
        <s v="Paletização "/>
        <s v="Portaria"/>
        <s v="Portaria "/>
        <s v="Portaria / Recepção"/>
        <s v="Refeitório"/>
        <s v="Responsabilidade Corporativa"/>
        <s v="Torrefação"/>
        <s v="Torrefação, Moagem, Café Cru"/>
      </sharedItems>
    </cacheField>
    <cacheField name="UNIDADE FABRIL" numFmtId="0">
      <sharedItems/>
    </cacheField>
    <cacheField name="ATIVIDADE" numFmtId="0">
      <sharedItems/>
    </cacheField>
    <cacheField name="ASPECTO" numFmtId="0">
      <sharedItems count="56">
        <s v="Risco de incêndio e explosão"/>
        <s v="Emissão de ruído"/>
        <s v="Perda de grãos "/>
        <s v="Vazamento de óleo"/>
        <s v="Descarte de amostras"/>
        <s v="Geração de big bags"/>
        <s v="Emissão de particulados, cinzas ou poeiras"/>
        <s v="Consumo de energia"/>
        <s v="Geração de resíduo orgânico "/>
        <s v="Descarte de madeira"/>
        <s v="Derramamento de produto químico"/>
        <s v="Geração de resíduos não recicláveis"/>
        <s v="Geração de resíduo Classe I"/>
        <s v="Geração de resíduos recicláveis "/>
        <s v="Reuso de água"/>
        <s v="Acúmulo de materiais sem proteção"/>
        <s v="Geração de resíduos da construção civil"/>
        <s v="Consumo de água"/>
        <s v="Geração de resíduo de ajardinamento"/>
        <s v="Geração de resíduos eletrônicos"/>
        <s v="Geração de resíduos de varrição"/>
        <s v="Descarte de produto em processo"/>
        <s v="Uso de tintas para impressora"/>
        <s v="Consumo de papel"/>
        <s v="Geração de EPI contaminado"/>
        <s v="Uso de produto de limpeza"/>
        <s v="Geração de efluentes"/>
        <s v="Consumo de produto químico"/>
        <s v="Geração de esgoto doméstico"/>
        <s v="Emissão de gases e vapores"/>
        <s v="Descarte da embalagem do produto"/>
        <s v="Geração de borra de café "/>
        <s v="Descarte de produto vencido/devolvido"/>
        <s v="Geração de embalagens contaminadas"/>
        <s v="Geração de resíduos classificados"/>
        <s v="Tombamento de carga"/>
        <s v="Descarte de baterias"/>
        <s v="Geração de resíduos perigosos"/>
        <s v="Geração de embalagens (papelão, filme strech)"/>
        <s v="Geração de óleos e graxas"/>
        <s v="Consumo de combustível"/>
        <s v="Emissão de fumaça preta"/>
        <s v="Geração de lâmpadas de mercúrio"/>
        <s v="Geração de resíduos de solda"/>
        <s v="Geração de panos contaminados"/>
        <s v="Geração de cavaco e sucata metálica"/>
        <s v="Descarte de partículas metálicas "/>
        <s v="Consumo de pallets de madeira"/>
        <s v="Consumo de papelão"/>
        <s v="Geração de tubetes de PVC "/>
        <s v="Recolhimento de embalagens do produto"/>
        <s v="Geração de película"/>
        <s v="Descarte de produto fora de padrão (torra fora)"/>
        <s v="Emissão de odor "/>
        <s v="Geração de calor"/>
        <s v="Consumo de madeira"/>
      </sharedItems>
    </cacheField>
    <cacheField name="IMPACTO" numFmtId="0">
      <sharedItems/>
    </cacheField>
    <cacheField name="SITUAÇÃO" numFmtId="0">
      <sharedItems/>
    </cacheField>
    <cacheField name="INCIDÊNCIA" numFmtId="0">
      <sharedItems/>
    </cacheField>
    <cacheField name="TEMPORALIDADE" numFmtId="0">
      <sharedItems/>
    </cacheField>
    <cacheField name="CLASSIFICAÇÃO" numFmtId="0">
      <sharedItems/>
    </cacheField>
    <cacheField name="RISCO OU OPORTUNIDADE" numFmtId="0">
      <sharedItems/>
    </cacheField>
    <cacheField name="DEMANDA" numFmtId="0">
      <sharedItems/>
    </cacheField>
    <cacheField name="ABRANGÊNCIA" numFmtId="0">
      <sharedItems/>
    </cacheField>
    <cacheField name="FREQUÊNCIA" numFmtId="164">
      <sharedItems containsSemiMixedTypes="0" containsString="0" containsNumber="1" containsInteger="1" minValue="1" maxValue="10"/>
    </cacheField>
    <cacheField name="SEVERIDADE" numFmtId="164">
      <sharedItems containsSemiMixedTypes="0" containsString="0" containsNumber="1" containsInteger="1" minValue="1" maxValue="40"/>
    </cacheField>
    <cacheField name="PROBABILIDADE" numFmtId="164">
      <sharedItems containsSemiMixedTypes="0" containsString="0" containsNumber="1" minValue="0.1" maxValue="10"/>
    </cacheField>
    <cacheField name="RANKING INICIAL" numFmtId="164">
      <sharedItems containsSemiMixedTypes="0" containsString="0" containsNumber="1" minValue="0.60000000000000009" maxValue="900"/>
    </cacheField>
    <cacheField name="SIGNICÂNCIA INICIAL" numFmtId="0">
      <sharedItems/>
    </cacheField>
    <cacheField name="PREVENÇÃO" numFmtId="0">
      <sharedItems longText="1"/>
    </cacheField>
    <cacheField name="MONITORAMENTO" numFmtId="0">
      <sharedItems containsBlank="1"/>
    </cacheField>
    <cacheField name="MITIGAÇÃO" numFmtId="0">
      <sharedItems containsBlank="1"/>
    </cacheField>
    <cacheField name="FREQUÊNCIA2" numFmtId="164">
      <sharedItems containsSemiMixedTypes="0" containsString="0" containsNumber="1" containsInteger="1" minValue="1" maxValue="10"/>
    </cacheField>
    <cacheField name="SEVERIDADE2" numFmtId="164">
      <sharedItems containsSemiMixedTypes="0" containsString="0" containsNumber="1" containsInteger="1" minValue="1" maxValue="7"/>
    </cacheField>
    <cacheField name="PROBABILIDADE2" numFmtId="164">
      <sharedItems containsSemiMixedTypes="0" containsString="0" containsNumber="1" minValue="0.1" maxValue="3"/>
    </cacheField>
    <cacheField name="RANKING FINAL" numFmtId="164">
      <sharedItems containsSemiMixedTypes="0" containsString="0" containsNumber="1" minValue="0.30000000000000004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x v="0"/>
    <s v="TODAS"/>
    <s v="Atividade"/>
    <x v="0"/>
    <s v="Danos materiais e alteração da qualidade da água, do ar e do solo"/>
    <s v="E"/>
    <s v="D"/>
    <s v="A"/>
    <s v="A"/>
    <s v="R"/>
    <s v="I"/>
    <s v="L"/>
    <n v="10"/>
    <n v="40"/>
    <n v="0.2"/>
    <n v="80"/>
    <s v="Significante"/>
    <s v="Limpeza "/>
    <s v="Rota Ambiental"/>
    <s v="Plano de atendimento a emergência"/>
    <n v="10"/>
    <n v="3"/>
    <n v="0.2"/>
    <n v="6"/>
  </r>
  <r>
    <x v="0"/>
    <s v="TODAS"/>
    <s v="Alimentação dos silos"/>
    <x v="1"/>
    <s v="Perturbação do conforto da comunidade"/>
    <s v="N"/>
    <s v="D"/>
    <s v="A"/>
    <s v="A"/>
    <s v="R"/>
    <s v="E"/>
    <s v="P"/>
    <n v="6"/>
    <n v="15"/>
    <n v="3"/>
    <n v="270"/>
    <s v="Significante"/>
    <s v="Isolamento acústico em áreas de transporte de café, paredes com placas de isopainel "/>
    <s v="Laudo de ruído perimetral"/>
    <s v="N/A"/>
    <n v="6"/>
    <n v="7"/>
    <n v="0.5"/>
    <n v="21"/>
  </r>
  <r>
    <x v="0"/>
    <s v="TODAS"/>
    <s v="Alimentação dos silos"/>
    <x v="2"/>
    <s v="Esgotamento de aterros"/>
    <s v="N"/>
    <s v="D"/>
    <s v="A"/>
    <s v="A"/>
    <s v="R"/>
    <s v="I"/>
    <s v="P"/>
    <n v="3"/>
    <n v="3"/>
    <n v="0.1"/>
    <n v="0.9"/>
    <s v="Insignificante"/>
    <s v="Seguir POP 04.303 Gerenciamento de Resíduos não perigosos - depositar em coletores identificados como resíduos de café, varrição e película  - compostagem realizada por empresa especializada e aprovada"/>
    <s v="Rota Ambiental"/>
    <s v="N/A"/>
    <n v="1"/>
    <n v="3"/>
    <n v="0.1"/>
    <n v="0.30000000000000004"/>
  </r>
  <r>
    <x v="0"/>
    <s v="TODAS"/>
    <s v="Alimentação dos silos"/>
    <x v="3"/>
    <s v="Alteração da qualidade da água e do solo"/>
    <s v="E"/>
    <s v="D"/>
    <s v="A"/>
    <s v="A"/>
    <s v="R"/>
    <s v="N/A"/>
    <s v="P"/>
    <n v="1"/>
    <n v="40"/>
    <n v="1"/>
    <n v="40"/>
    <s v="Insignificante"/>
    <s v="Verificação periódica realizada pela Área de café Cru para identificar vazamentos e necessidade de manutenções preventivas.     "/>
    <s v="Rota Ambiental"/>
    <s v="Plano de atendimento a emergência. _x000a_Uso do kit de emergência"/>
    <n v="1"/>
    <n v="3"/>
    <n v="1"/>
    <n v="3"/>
  </r>
  <r>
    <x v="0"/>
    <s v="TODAS"/>
    <s v="Amostragem de grãos "/>
    <x v="4"/>
    <s v="Esgotamento de aterros"/>
    <s v="N"/>
    <s v="D"/>
    <s v="A"/>
    <s v="A"/>
    <s v="R"/>
    <s v="I"/>
    <s v="P"/>
    <n v="6"/>
    <n v="3"/>
    <n v="0.1"/>
    <n v="1.8"/>
    <s v="Insignificante"/>
    <s v="Reaproveitamento no processo"/>
    <s v="MATRIZ DE GERENCIAMENTO DE RESÍDUOS SÓLIDOS"/>
    <s v="N/A"/>
    <n v="6"/>
    <n v="3"/>
    <n v="0.1"/>
    <n v="1.8"/>
  </r>
  <r>
    <x v="0"/>
    <s v="TODAS"/>
    <s v="Descarga de café cru em bags"/>
    <x v="5"/>
    <s v="Esgotamento de aterros"/>
    <s v="N"/>
    <s v="D"/>
    <s v="A"/>
    <s v="A"/>
    <s v="R"/>
    <s v="I"/>
    <s v="P"/>
    <n v="2"/>
    <n v="3"/>
    <n v="10"/>
    <n v="60"/>
    <s v="Insignificante"/>
    <s v="Seguir POP 04.303 Gerenciamento de resíduos não perigosos _x000a_Big bag integro, dobrar e empilhar em pallets para retorno ao fornecedores._x000a_Big Bag danificado, enviar para área de resíduos_x000a_"/>
    <s v="MATRIZ DE GERENCIAMENTO DE RESÍDUOS SÓLIDOS"/>
    <s v="N/A"/>
    <n v="2"/>
    <n v="3"/>
    <n v="1"/>
    <n v="6"/>
  </r>
  <r>
    <x v="0"/>
    <s v="TODAS"/>
    <s v="Descarga de café cru em bags"/>
    <x v="2"/>
    <s v="Esgotamento de aterros"/>
    <s v="N"/>
    <s v="D"/>
    <s v="A"/>
    <s v="A"/>
    <s v="O"/>
    <s v="I"/>
    <s v="P"/>
    <n v="2"/>
    <n v="3"/>
    <n v="1"/>
    <n v="6"/>
    <s v="Insignificante"/>
    <s v="Seguir POP 04.303 Gerenciamento de Resíduos não perigosos - depositar em coletores identificados como resíduos de café, varrição e película  - compostagem realizada por empresa especializada e aprovada"/>
    <s v="MATRIZ DE GERENCIAMENTO DE RESÍDUOS SÓLIDOS/ ROTA AMBIENTAL"/>
    <s v="N/A"/>
    <n v="2"/>
    <n v="3"/>
    <n v="0.5"/>
    <n v="3"/>
  </r>
  <r>
    <x v="0"/>
    <s v="TODAS"/>
    <s v="Descarga de café cru em bags"/>
    <x v="3"/>
    <s v="Alteração da qualidade da água e do solo"/>
    <s v="E"/>
    <s v="D"/>
    <s v="A"/>
    <s v="A"/>
    <s v="R"/>
    <s v="N/A"/>
    <s v="P"/>
    <n v="1"/>
    <n v="40"/>
    <n v="1"/>
    <n v="40"/>
    <s v="Insignificante"/>
    <s v="Descarga realizada em piso impermeável"/>
    <s v="Rota Ambiental"/>
    <s v="Plano de atendimento a emergência. _x000a_Uso do kit de emergência"/>
    <n v="1"/>
    <n v="3"/>
    <n v="1"/>
    <n v="3"/>
  </r>
  <r>
    <x v="0"/>
    <s v="TODAS"/>
    <s v="Descarga de café cru em bags"/>
    <x v="6"/>
    <s v="Alteração da qualidade do ar"/>
    <s v="N"/>
    <s v="D"/>
    <s v="A"/>
    <s v="A"/>
    <s v="R"/>
    <s v="E"/>
    <s v="P"/>
    <n v="2"/>
    <n v="15"/>
    <n v="3"/>
    <n v="90"/>
    <s v="Significante"/>
    <s v="Área totalmente fechada"/>
    <s v="Rota Ambiental"/>
    <s v="N/A"/>
    <n v="2"/>
    <n v="3"/>
    <n v="1"/>
    <n v="6"/>
  </r>
  <r>
    <x v="0"/>
    <s v="TODAS"/>
    <s v="Descarregamento de caminhões"/>
    <x v="6"/>
    <s v="Alteração da qualidade do ar"/>
    <s v="N"/>
    <s v="D"/>
    <s v="A"/>
    <s v="A"/>
    <s v="R"/>
    <s v="E"/>
    <s v="L"/>
    <n v="1"/>
    <n v="15"/>
    <n v="3"/>
    <n v="45"/>
    <s v="Insignificante"/>
    <s v="Área totalmente fechada."/>
    <s v="Rota Ambiental"/>
    <s v="N/A"/>
    <n v="1"/>
    <n v="3"/>
    <n v="0.5"/>
    <n v="1.5"/>
  </r>
  <r>
    <x v="0"/>
    <s v="TODAS"/>
    <s v="Descarregamento de caminhões"/>
    <x v="0"/>
    <s v="Danos materiais e alteração da qualidade da água, do ar e do solo"/>
    <s v="E"/>
    <s v="D"/>
    <s v="A"/>
    <s v="A"/>
    <s v="R"/>
    <s v="N/A"/>
    <s v="L"/>
    <n v="1"/>
    <n v="40"/>
    <n v="0.1"/>
    <n v="4"/>
    <s v="Insignificante"/>
    <s v="Sistema  de captação de pó - limpeza de filtro manga responsável manutencao e área totalmente fechada. "/>
    <s v="Rota Ambiental"/>
    <s v="Plano de atendimento a emergência"/>
    <n v="1"/>
    <n v="3"/>
    <n v="0.1"/>
    <n v="0.30000000000000004"/>
  </r>
  <r>
    <x v="0"/>
    <s v="TODAS"/>
    <s v="Estacionamento  na área do café cru"/>
    <x v="3"/>
    <s v="Alteração da qualidade da água e do solo"/>
    <s v="E"/>
    <s v="I"/>
    <s v="A"/>
    <s v="A"/>
    <s v="R"/>
    <s v="N/A"/>
    <s v="P"/>
    <n v="2"/>
    <n v="40"/>
    <n v="0.5"/>
    <n v="40"/>
    <s v="Insignificante"/>
    <s v="Piso impermeável, área delimitada"/>
    <s v="Rota Ambiental"/>
    <s v="Plano de atendimento a emergência. _x000a_Uso do kit de emergência"/>
    <n v="2"/>
    <n v="3"/>
    <n v="0.5"/>
    <n v="3"/>
  </r>
  <r>
    <x v="0"/>
    <s v="TODAS"/>
    <s v="Peneiramento de grãos  - resíduos de impurezas do café cru"/>
    <x v="6"/>
    <s v="Alteração da qualidade do ar"/>
    <s v="N"/>
    <s v="D"/>
    <s v="A"/>
    <s v="A"/>
    <s v="R"/>
    <s v="E"/>
    <s v="L"/>
    <n v="1"/>
    <n v="15"/>
    <n v="3"/>
    <n v="45"/>
    <s v="Insignificante"/>
    <s v="Inspeção do Sistema de Captação de Pó, limpeza dos filtros "/>
    <s v="Rota Ambiental"/>
    <s v="N/A"/>
    <n v="1"/>
    <n v="3"/>
    <n v="0.5"/>
    <n v="1.5"/>
  </r>
  <r>
    <x v="0"/>
    <s v="TODAS"/>
    <s v="Uso de sopradores "/>
    <x v="7"/>
    <s v="Redução da disponibilidade de recursos naturais"/>
    <s v="N"/>
    <s v="D"/>
    <s v="A"/>
    <s v="A"/>
    <s v="R"/>
    <s v="I"/>
    <s v="P"/>
    <n v="6"/>
    <n v="3"/>
    <n v="3"/>
    <n v="54"/>
    <s v="Insignificante"/>
    <s v="Instalação de inversores de frequencia - energy saving"/>
    <s v="Consumo mensal / ton produzida "/>
    <s v="N/A"/>
    <n v="6"/>
    <n v="3"/>
    <n v="0.5"/>
    <n v="9"/>
  </r>
  <r>
    <x v="0"/>
    <s v="TODAS"/>
    <s v="Troca de óleo dos sopradores"/>
    <x v="3"/>
    <s v="Alteração da qualidade da água e do solo"/>
    <s v="E"/>
    <s v="D"/>
    <s v="A"/>
    <s v="A"/>
    <s v="R"/>
    <s v="N/A"/>
    <s v="P"/>
    <n v="1"/>
    <n v="40"/>
    <n v="1"/>
    <n v="40"/>
    <s v="Insignificante"/>
    <s v="Manutenção preventiva  -  Manutenção de Equipamentos críticos "/>
    <s v="Rota Ambiental"/>
    <s v="Plano de atendimento a emergência. _x000a_Uso do kit de emergência"/>
    <n v="1"/>
    <n v="3"/>
    <n v="0.5"/>
    <n v="1.5"/>
  </r>
  <r>
    <x v="0"/>
    <s v="TODAS"/>
    <s v="Peneiramento de grãos  - resíduos de impurezas do café cru"/>
    <x v="8"/>
    <s v="Alteração da qualidade da água e do solo"/>
    <s v="N"/>
    <s v="D"/>
    <s v="A"/>
    <s v="A"/>
    <s v="R"/>
    <s v="I"/>
    <s v="P"/>
    <n v="10"/>
    <n v="3"/>
    <n v="0.2"/>
    <n v="6"/>
    <s v="Insignificante"/>
    <s v="Coletados em caçambas e direcionados para compostagem"/>
    <s v="MATRIZ DE GERENCIAMENTO DE RESÍDUOS SÓLIDOS"/>
    <s v="N/A"/>
    <n v="10"/>
    <n v="3"/>
    <n v="0.1"/>
    <n v="3"/>
  </r>
  <r>
    <x v="0"/>
    <s v="TODAS"/>
    <s v="Recebimento, armazenamento e transporte de Cavaco"/>
    <x v="6"/>
    <s v="Alteração da qualidade do ar"/>
    <s v="N"/>
    <s v="D"/>
    <s v="A"/>
    <s v="A"/>
    <s v="R"/>
    <s v="E"/>
    <s v="L"/>
    <n v="6"/>
    <n v="15"/>
    <n v="3"/>
    <n v="270"/>
    <s v="Significante"/>
    <s v="Área totalmente fechada"/>
    <s v="Rota Ambiental"/>
    <s v="N/A"/>
    <n v="6"/>
    <n v="3"/>
    <n v="3"/>
    <n v="54"/>
  </r>
  <r>
    <x v="0"/>
    <s v="TODAS"/>
    <s v="Recebimento, armazenamento e transporte de Cavaco"/>
    <x v="9"/>
    <s v="Esgotamento de aterros"/>
    <s v="N"/>
    <s v="D"/>
    <s v="A"/>
    <s v="A"/>
    <s v="R"/>
    <s v="I"/>
    <s v="P"/>
    <n v="6"/>
    <n v="3"/>
    <n v="3"/>
    <n v="54"/>
    <s v="Insignificante"/>
    <s v="Seguir POP 04.303 Gerenciamento de Resíduos não perigosos - depositar em coletores identificados como resíduos de madeira  - compostagem realizada por empresa especializada e aprovada"/>
    <s v="MATRIZ DE GERENCIAMENTO DE RESÍDUOS SÓLIDOS"/>
    <s v="N/A"/>
    <n v="6"/>
    <n v="3"/>
    <n v="0.5"/>
    <n v="9"/>
  </r>
  <r>
    <x v="0"/>
    <s v="TODAS"/>
    <s v="Transporte de café cru para os silos de espera / Blendagem"/>
    <x v="6"/>
    <s v="Alteração da qualidade do ar"/>
    <s v="N"/>
    <s v="D"/>
    <s v="A"/>
    <s v="A"/>
    <s v="R"/>
    <s v="E"/>
    <s v="P"/>
    <n v="6"/>
    <n v="15"/>
    <n v="6"/>
    <n v="540"/>
    <s v="Significante"/>
    <s v=" Sistema de despoeiramento"/>
    <s v="Rota Ambiental"/>
    <s v="N/A"/>
    <n v="6"/>
    <n v="3"/>
    <n v="3"/>
    <n v="54"/>
  </r>
  <r>
    <x v="0"/>
    <s v="TODAS"/>
    <s v="Transporte de café cru para os silos de espera / Blendagem"/>
    <x v="3"/>
    <s v="Alteração da qualidade da água e do solo"/>
    <s v="N"/>
    <s v="D"/>
    <s v="A"/>
    <s v="A"/>
    <s v="R"/>
    <s v="I"/>
    <s v="P"/>
    <n v="2"/>
    <n v="3"/>
    <n v="0.5"/>
    <n v="3"/>
    <s v="Insignificante"/>
    <s v="Manutenção preventiva das tubulações / correiras transportadoras"/>
    <s v="Rota Ambiental"/>
    <s v="N/A"/>
    <n v="2"/>
    <n v="3"/>
    <n v="0.2"/>
    <n v="1.2000000000000002"/>
  </r>
  <r>
    <x v="1"/>
    <s v="TODAS"/>
    <s v="Recebimento de óleo diesel"/>
    <x v="3"/>
    <s v="Alteração da qualidade da água e do solo"/>
    <s v="E"/>
    <s v="D"/>
    <s v="A"/>
    <s v="A"/>
    <s v="R"/>
    <s v="I"/>
    <s v="P"/>
    <n v="3"/>
    <n v="40"/>
    <n v="0.5"/>
    <n v="60"/>
    <s v="Insignificante"/>
    <s v="Conforme descrito na IT 04. 106 Recebimento e Inspeção de Abastecimento de Geradores e FRM 04.134 "/>
    <s v="Através da inspeções realizadas e registradas no FRM 04.134"/>
    <s v="Uso do Kit ambiental "/>
    <n v="3"/>
    <n v="3"/>
    <n v="0.5"/>
    <n v="4.5"/>
  </r>
  <r>
    <x v="1"/>
    <s v="TODAS"/>
    <s v="Armazenamento de produtos de limpeza "/>
    <x v="10"/>
    <s v="Alteração da qualidade da água e do solo"/>
    <s v="E"/>
    <s v="D"/>
    <s v="A"/>
    <s v="A"/>
    <s v="R"/>
    <s v="I"/>
    <s v="P"/>
    <n v="2"/>
    <n v="40"/>
    <n v="0.5"/>
    <n v="40"/>
    <s v="Insignificante"/>
    <s v="Manter produto em frasco original, em contenção, em armário identifcado, com as respectivas fispqs "/>
    <s v="Estar presente na lista de produtos químicos aprovados "/>
    <s v="Uso do Kit ambiental "/>
    <n v="2"/>
    <n v="3"/>
    <n v="0.5"/>
    <n v="3"/>
  </r>
  <r>
    <x v="1"/>
    <s v="TODAS"/>
    <s v="Entrega e recolhimento de EPI´s e Uniformes "/>
    <x v="11"/>
    <s v="Esgotamento de aterros"/>
    <s v="N"/>
    <s v="D"/>
    <s v="A"/>
    <s v="A"/>
    <s v="R"/>
    <s v="I"/>
    <s v="P"/>
    <n v="2"/>
    <n v="3"/>
    <n v="1"/>
    <n v="6"/>
    <s v="Insignificante"/>
    <s v="Recolher junto aos usuários os Epi´s e uniformes usados, armazenar em coletor identificado e enviar para descarte como resíduo perigoso "/>
    <s v="Controle de quantidade enviada para destinador de resíduos "/>
    <s v="N/A"/>
    <n v="2"/>
    <n v="3"/>
    <n v="0.5"/>
    <n v="3"/>
  </r>
  <r>
    <x v="1"/>
    <s v="TODAS"/>
    <s v="Entrega e recolhimento de embalagens de aerossol"/>
    <x v="12"/>
    <s v="Alteração da qualidade da água e do solo"/>
    <s v="N"/>
    <s v="D"/>
    <s v="A"/>
    <s v="A"/>
    <s v="R"/>
    <s v="I"/>
    <s v="P"/>
    <n v="2"/>
    <n v="3"/>
    <n v="1"/>
    <n v="6"/>
    <s v="Insignificante"/>
    <s v="Recolher junto à manutenção (usuários) as latas de aerossóis vazias, armazenar em coletor identificado como resíduo perigoso"/>
    <s v="Controle de quantidade enviada para destinador de resíduos "/>
    <s v="N/A"/>
    <n v="2"/>
    <n v="3"/>
    <n v="0.5"/>
    <n v="3"/>
  </r>
  <r>
    <x v="1"/>
    <s v="TODAS"/>
    <s v="Armazenamento de produtos quimicos "/>
    <x v="10"/>
    <s v="Alteração da qualidade da água e do solo"/>
    <s v="E"/>
    <s v="D"/>
    <s v="A"/>
    <s v="A"/>
    <s v="R"/>
    <s v="I"/>
    <s v="P"/>
    <n v="2"/>
    <n v="40"/>
    <n v="0.5"/>
    <n v="40"/>
    <s v="Insignificante"/>
    <s v="Manter os produtos químicos em contenção, em armário identificado  com as respctivas fisps "/>
    <s v="Estar presente na lista de produtos químicos aprovados "/>
    <s v="Uso do Kit ambiental "/>
    <n v="2"/>
    <n v="3"/>
    <n v="0.5"/>
    <n v="3"/>
  </r>
  <r>
    <x v="1"/>
    <s v="TODAS"/>
    <s v="Armazenamento de materiais para embalagem"/>
    <x v="13"/>
    <s v="Esgotamento de aterros"/>
    <s v="N"/>
    <s v="D"/>
    <s v="A"/>
    <s v="A"/>
    <s v="R"/>
    <s v="I"/>
    <s v="P"/>
    <n v="10"/>
    <n v="3"/>
    <n v="1"/>
    <n v="30"/>
    <s v="Insignificante"/>
    <s v="Seguir POP 04.303 - Gerenciamento de resíduos não perigosos - Descarte em coletores de coleta seletiva, conforme tipo de material/ Conscientização"/>
    <s v="MATRIZ DE GERENCIAMENTO DE RESÍDUOS SÓLIDOS"/>
    <s v="N/A"/>
    <n v="10"/>
    <n v="3"/>
    <n v="0.5"/>
    <n v="15"/>
  </r>
  <r>
    <x v="2"/>
    <s v="TODAS"/>
    <s v="Armazenamento de produtos de limpeza, inflamáveis e resíduos perigosos"/>
    <x v="0"/>
    <s v="Danos materiais e alteração da qualidade da água, do ar e do solo"/>
    <s v="E"/>
    <s v="D"/>
    <s v="A"/>
    <s v="A"/>
    <s v="R"/>
    <s v="N/A"/>
    <s v="L"/>
    <n v="10"/>
    <n v="40"/>
    <n v="0.5"/>
    <n v="200"/>
    <s v="Significante"/>
    <s v="Área com sistema contra descargas atmosféricas,  materiais separados conforme incompatibilidade química, área ventilada, embalagens rotuladas, com controle de acesso e monitorado por câmeras."/>
    <s v="Rota Ambiental"/>
    <s v="Plano de atendimento a emergência"/>
    <n v="10"/>
    <n v="3"/>
    <n v="0.5"/>
    <n v="15"/>
  </r>
  <r>
    <x v="2"/>
    <s v="TODAS"/>
    <s v="Armazenamento de produtos de limpeza, inflamáveis e resíduos perigos"/>
    <x v="10"/>
    <s v="Alteração da qualidade da água e do solo"/>
    <s v="E"/>
    <s v="D"/>
    <s v="A"/>
    <s v="A"/>
    <s v="R"/>
    <s v="N/A"/>
    <s v="P"/>
    <n v="2"/>
    <n v="40"/>
    <n v="0.5"/>
    <n v="40"/>
    <s v="Insignificante"/>
    <s v="Área sinalizada, em contenção, FISPQs disponiveis no local. Procedimento POP 04.306 - Gerenciamento de Resíduos Perigosos."/>
    <s v="Rota Ambiental"/>
    <s v="Plano de atendimento a emergência"/>
    <n v="2"/>
    <n v="3"/>
    <n v="0.5"/>
    <n v="3"/>
  </r>
  <r>
    <x v="3"/>
    <s v="TODAS"/>
    <s v="Armazenamento de Inflamáveis"/>
    <x v="0"/>
    <s v="Danos materiais e alteração da qualidade da água, do ar e do solo"/>
    <s v="E"/>
    <s v="D"/>
    <s v="A"/>
    <s v="A"/>
    <s v="R"/>
    <s v="N/A"/>
    <s v="L"/>
    <n v="2"/>
    <n v="40"/>
    <n v="0.1"/>
    <n v="8"/>
    <s v="Insignificante"/>
    <s v="Área com sistema contra descargas atmosféricas,  materiais separados conforme incompatibilidade química. "/>
    <s v="Aprovação de produtos quimicos, FISPQ disponivel para equipe de brigada, check list da sala de inflamáveis, rotas ambientais."/>
    <s v="Plano de atendimento a emergência"/>
    <n v="2"/>
    <n v="3"/>
    <n v="0.1"/>
    <n v="0.60000000000000009"/>
  </r>
  <r>
    <x v="3"/>
    <s v="TODAS"/>
    <s v="Armazenamento de Inflamáveis"/>
    <x v="10"/>
    <s v="Alteração da qualidade da água e do solo"/>
    <s v="E"/>
    <s v="D"/>
    <s v="A"/>
    <s v="A"/>
    <s v="R"/>
    <s v="N/A"/>
    <s v="P"/>
    <n v="2"/>
    <n v="40"/>
    <n v="0.1"/>
    <n v="8"/>
    <s v="Insignificante"/>
    <s v="Área solo impermeabilizado providas com canaletas, coletores e caixa separadora/ Simulados._x000a_Aprovação de produtos quimicos, FISPQ disponivel para equipe de brigada,"/>
    <s v="Rota Ambiental"/>
    <s v="Plano de atendimento a emergência. _x000a_Uso do kit de emergência"/>
    <n v="2"/>
    <n v="3"/>
    <n v="0.1"/>
    <n v="0.60000000000000009"/>
  </r>
  <r>
    <x v="3"/>
    <s v="TODAS"/>
    <s v="Compactação de resíduos recicláveis - uso de prensa hidráulica"/>
    <x v="3"/>
    <s v="Alteração da qualidade da água e do solo"/>
    <s v="E"/>
    <s v="D/I"/>
    <s v="A"/>
    <s v="A"/>
    <s v="R"/>
    <s v="N/A"/>
    <s v="P"/>
    <n v="2"/>
    <n v="40"/>
    <n v="0.2"/>
    <n v="16"/>
    <s v="Insignificante"/>
    <s v="Manutenção preventiva, localizado em área impermeável,  kit de emergência disponivel"/>
    <s v="Rota Ambiental"/>
    <s v="Plano de atendimento a emergência. _x000a_Uso do kit de emergência"/>
    <n v="2"/>
    <n v="3"/>
    <n v="0.1"/>
    <n v="0.60000000000000009"/>
  </r>
  <r>
    <x v="3"/>
    <s v="TODAS"/>
    <s v="Separação de resíduos "/>
    <x v="13"/>
    <s v="Esgotamento de aterros"/>
    <s v="N"/>
    <s v="D/I"/>
    <s v="A"/>
    <s v="A"/>
    <s v="O"/>
    <s v="I"/>
    <s v="L"/>
    <n v="6"/>
    <n v="3"/>
    <n v="0.2"/>
    <n v="3.6"/>
    <s v="Insignificante"/>
    <s v="POP 04.303 Gerenciamento de resíduos não perigosos, coleta seletiva, caçambas identificadas, destinação para receptor licenciado"/>
    <s v="MATRIZ DE GERENCIAMENTO DE RESÍDUOS SÓLIDOS"/>
    <s v="N/A"/>
    <n v="6"/>
    <n v="3"/>
    <n v="0.1"/>
    <n v="1.8"/>
  </r>
  <r>
    <x v="3"/>
    <s v="TODAS"/>
    <s v="Separação de resíduos "/>
    <x v="12"/>
    <s v="Alteração da qualidade da água e do solo"/>
    <s v="N"/>
    <s v="D/I"/>
    <s v="A"/>
    <s v="B"/>
    <s v="O"/>
    <s v="E"/>
    <s v="R"/>
    <n v="2"/>
    <n v="15"/>
    <n v="0.2"/>
    <n v="6"/>
    <s v="Insignificante"/>
    <s v="POP 04.306 Gerenciamento de resíduos perigosos, coletores laranja, armazenamento temporário na sala de inflamaveis, acesso controlado, destinação para receptor licenciado."/>
    <s v="MATRIZ DE GERENCIAMENTO DE RESÍDUOS SÓLIDOS"/>
    <s v="N/A"/>
    <n v="2"/>
    <n v="3"/>
    <n v="0.2"/>
    <n v="1.2000000000000002"/>
  </r>
  <r>
    <x v="3"/>
    <s v="TODAS"/>
    <s v="Separação de resíduos recicláveis e não recicláveis "/>
    <x v="11"/>
    <s v="Esgotamento de aterros"/>
    <s v="N"/>
    <s v="D/I"/>
    <s v="A"/>
    <s v="A"/>
    <s v="R"/>
    <s v="I"/>
    <s v="R"/>
    <n v="6"/>
    <n v="3"/>
    <n v="0.5"/>
    <n v="9"/>
    <s v="Insignificante"/>
    <s v="Orientação para uso racional de materiais._x000a_POP 04.303 Gerenciamento de Resíduos não perigosos_x000a_Descarte em coletores Cinza_x000a_Licenciamento ambiental dos destinatários finais. "/>
    <s v="Rota Ambiental"/>
    <s v="N/A"/>
    <n v="6"/>
    <n v="3"/>
    <n v="0.2"/>
    <n v="3.6"/>
  </r>
  <r>
    <x v="4"/>
    <s v="TODAS"/>
    <s v="Armazenamento de água do condensado do sistema de refrigeração (ar condicionado)"/>
    <x v="14"/>
    <s v="Aumento da disponibilidade de recursos naturais"/>
    <s v="N"/>
    <s v="D"/>
    <s v="A"/>
    <s v="B"/>
    <s v="O"/>
    <s v="N/A"/>
    <s v="P"/>
    <n v="6"/>
    <n v="1"/>
    <n v="1"/>
    <n v="6"/>
    <s v="Insignificante"/>
    <s v="Uso para irrigação do jardim ou limpeza do piso dos banheiros"/>
    <s v="Rota Ambiental"/>
    <s v="Plano de atendimento a emergencia. "/>
    <n v="6"/>
    <n v="1"/>
    <n v="1"/>
    <n v="6"/>
  </r>
  <r>
    <x v="4"/>
    <s v="TODAS"/>
    <s v="Armazenamento de equipamentos desativados"/>
    <x v="15"/>
    <s v="Alteração da flora e/ou fauna"/>
    <s v="A"/>
    <s v="D"/>
    <s v="A"/>
    <s v="A"/>
    <s v="R"/>
    <s v="N/A"/>
    <s v="P"/>
    <n v="6"/>
    <n v="7"/>
    <n v="1"/>
    <n v="42"/>
    <s v="Insignificante"/>
    <s v="Manter equipamentos com aberuras voltadas para baixo para evitar acumulo de água e proliferação do Aedes Aegypt"/>
    <s v="Rota Ambiental"/>
    <s v="Solicitação de Retirada Imediata do material"/>
    <n v="6"/>
    <n v="3"/>
    <n v="0.1"/>
    <n v="1.8"/>
  </r>
  <r>
    <x v="4"/>
    <s v="TODAS"/>
    <s v="Armazenamento de materiais para construção civil / reformas"/>
    <x v="16"/>
    <s v="Esgotamento de aterros"/>
    <s v="A"/>
    <s v="D"/>
    <s v="A"/>
    <s v="A"/>
    <s v="R"/>
    <s v="N/A"/>
    <s v="P"/>
    <n v="2"/>
    <n v="7"/>
    <n v="1"/>
    <n v="14"/>
    <s v="Insignificante"/>
    <s v="Armazenamento em local identificado, com controle e proibição de armazenamento de produto químicos. Em contrato, é solicitado que todas as empresas que prestam serviço de construção civil, incluam no orçamento os custos para descarte dos resíduos gerados"/>
    <s v="Rota Ambiental"/>
    <s v="N/A"/>
    <n v="2"/>
    <n v="3"/>
    <n v="1"/>
    <n v="6"/>
  </r>
  <r>
    <x v="4"/>
    <s v="TODAS"/>
    <s v="Captação de água subterrânea"/>
    <x v="17"/>
    <s v="Redução da disponibilidade de recursos naturais"/>
    <s v="N"/>
    <s v="D"/>
    <s v="A"/>
    <s v="A"/>
    <s v="R"/>
    <s v="N/A"/>
    <s v="P"/>
    <n v="6"/>
    <n v="3"/>
    <n v="3"/>
    <n v="54"/>
    <s v="Insignificante"/>
    <s v="Sistema não sendo utilizado"/>
    <m/>
    <s v="N/A"/>
    <n v="6"/>
    <n v="3"/>
    <n v="3"/>
    <n v="54"/>
  </r>
  <r>
    <x v="4"/>
    <s v="TODAS"/>
    <s v="Manutenção das áreas verdes"/>
    <x v="18"/>
    <s v="Esgotamento de aterros"/>
    <s v="N"/>
    <s v="D"/>
    <s v="A"/>
    <s v="A"/>
    <s v="R"/>
    <s v="I"/>
    <s v="P"/>
    <n v="2"/>
    <n v="3"/>
    <n v="0.5"/>
    <n v="3"/>
    <s v="Insignificante"/>
    <s v="Resíduos de poda descartado juntamente com os resíduos orgânicos e encaminhado para coprocessamento/ Meta aterro Zero, garantindo que nenhum resíduos gerado na fábrica vá para aterro"/>
    <s v="MATRIZ DE GERENCIAMENTO DE RESÍDUOS SÓLIDOS"/>
    <s v="N/A"/>
    <n v="2"/>
    <n v="3"/>
    <n v="0.1"/>
    <n v="0.60000000000000009"/>
  </r>
  <r>
    <x v="5"/>
    <s v="TODAS"/>
    <s v="Armazenamento de equipamentos de projeto de engenharia"/>
    <x v="19"/>
    <s v="Alteração da qualidade da água e do solo"/>
    <s v="N"/>
    <s v="D"/>
    <s v="A"/>
    <s v="A"/>
    <s v="R"/>
    <s v="I"/>
    <s v="P"/>
    <n v="2"/>
    <n v="3"/>
    <n v="0.2"/>
    <n v="1.2000000000000002"/>
    <s v="Insignificante"/>
    <s v=" Descartar de acordo com o POP 04.303. Destino final para empresa licenciada. Manter armazenado de forma identificada e em área coberta/ fechada"/>
    <s v="Rota Ambiental"/>
    <m/>
    <n v="2"/>
    <n v="3"/>
    <n v="0.1"/>
    <n v="0.60000000000000009"/>
  </r>
  <r>
    <x v="5"/>
    <s v="TODAS"/>
    <s v="Armazenamento de equipamentos de projeto de engenharia"/>
    <x v="3"/>
    <s v="Alteração da qualidade da água e do solo"/>
    <s v="E"/>
    <s v="D"/>
    <s v="A"/>
    <s v="A"/>
    <s v="R"/>
    <s v="N/A"/>
    <s v="P"/>
    <n v="2"/>
    <n v="40"/>
    <n v="0.1"/>
    <n v="8"/>
    <s v="Insignificante"/>
    <s v="Proibição de armazenamento de motores com contenção e/ou sem óleo."/>
    <s v="Rota Ambiental"/>
    <s v="Plano de atendimento a emergência. _x000a_Uso do kit de emergência"/>
    <n v="2"/>
    <n v="3"/>
    <n v="0.1"/>
    <n v="0.60000000000000009"/>
  </r>
  <r>
    <x v="6"/>
    <s v="TODAS"/>
    <s v="Embalagem de grãos "/>
    <x v="5"/>
    <s v="Esgotamento de aterros"/>
    <s v="N"/>
    <s v="D"/>
    <s v="A"/>
    <s v="A"/>
    <s v="R"/>
    <s v="I"/>
    <s v="L"/>
    <n v="2"/>
    <n v="3"/>
    <n v="0.5"/>
    <n v="3"/>
    <s v="Insignificante"/>
    <s v="Seguir POP 04.303 Gerenciamento de resíduos não perigosos  - envio para reciclagem"/>
    <s v="MATRIZ DE GERENCIAMENTO DE RESÍDUOS SÓLIDOS"/>
    <s v="N/A"/>
    <n v="2"/>
    <n v="3"/>
    <n v="0.1"/>
    <n v="0.60000000000000009"/>
  </r>
  <r>
    <x v="6"/>
    <s v="TODAS"/>
    <s v="Geração de embalagem aluminizada "/>
    <x v="11"/>
    <s v="Esgotamento de aterros"/>
    <s v="N"/>
    <s v="D"/>
    <s v="A"/>
    <s v="A"/>
    <s v="R"/>
    <s v="I"/>
    <s v="L"/>
    <n v="6"/>
    <n v="3"/>
    <n v="0.5"/>
    <n v="9"/>
    <s v="Insignificante"/>
    <s v="Seguir POP 04.303 Gerenciamento de resíduos não perigosos  - envio para reciclagem"/>
    <s v="MATRIZ DE GERENCIAMENTO DE RESÍDUOS SÓLIDOS"/>
    <s v="N/A"/>
    <n v="6"/>
    <n v="3"/>
    <n v="0.1"/>
    <n v="1.8"/>
  </r>
  <r>
    <x v="6"/>
    <s v="TODAS"/>
    <s v="Etiquetamento das embalagens  - Geração de ribbow, liner e  fita adesiva"/>
    <x v="11"/>
    <s v="Esgotamento de aterros"/>
    <s v="N"/>
    <s v="D"/>
    <s v="A"/>
    <s v="A"/>
    <s v="R"/>
    <s v="I"/>
    <s v="L"/>
    <n v="10"/>
    <n v="3"/>
    <n v="0.2"/>
    <n v="6"/>
    <s v="Insignificante"/>
    <s v="Descarte em coletor de Lixo Comum (cor cinza), conforme Procedimento POP 04.303 - Gerenciamento de Resíduos Não Perigosos."/>
    <s v="MATRIZ DE GERENCIAMENTO DE RESÍDUOS SÓLIDOS"/>
    <s v="N/A"/>
    <n v="10"/>
    <n v="3"/>
    <n v="0.1"/>
    <n v="3"/>
  </r>
  <r>
    <x v="7"/>
    <s v="TODAS"/>
    <s v="Limpeza da área "/>
    <x v="20"/>
    <s v="Esgotamento de aterros"/>
    <s v="N"/>
    <s v="D"/>
    <s v="A"/>
    <s v="A"/>
    <s v="R"/>
    <s v="I"/>
    <s v="P"/>
    <n v="6"/>
    <n v="3"/>
    <n v="0.1"/>
    <n v="1.8"/>
    <s v="Insignificante"/>
    <s v="Seguir POP 04.303 Gerenciamento de resíduos não perigosos  - envio para reciclagem"/>
    <s v="MATRIZ DE GERENCIAMENTO DE RESÍDUOS SÓLIDOS"/>
    <s v="N/A"/>
    <n v="6"/>
    <n v="3"/>
    <n v="0.1"/>
    <n v="1.8"/>
  </r>
  <r>
    <x v="7"/>
    <s v="TODAS"/>
    <s v="Operação das máquinas "/>
    <x v="3"/>
    <s v="Alteração da qualidade da água e do solo"/>
    <s v="E"/>
    <s v="D"/>
    <s v="A"/>
    <s v="A"/>
    <s v="R"/>
    <s v="N/A"/>
    <s v="P"/>
    <n v="2"/>
    <n v="40"/>
    <n v="0.5"/>
    <n v="40"/>
    <s v="Insignificante"/>
    <s v="Manutenções corretivas nos equipamentos"/>
    <s v="Cumprimento da manutenção preventiva dos equipamentos criticos "/>
    <s v="Plano de atendimento a emergência. _x000a_Uso do kit de emergência"/>
    <n v="2"/>
    <n v="3"/>
    <n v="0.5"/>
    <n v="3"/>
  </r>
  <r>
    <x v="7"/>
    <s v="TODAS"/>
    <s v="Embalagem"/>
    <x v="21"/>
    <s v="Esgotamento de aterros"/>
    <s v="N"/>
    <s v="D"/>
    <s v="A"/>
    <s v="A"/>
    <s v="R"/>
    <s v="I"/>
    <s v="L"/>
    <n v="3"/>
    <n v="3"/>
    <n v="0.5"/>
    <n v="4.5"/>
    <s v="Insignificante"/>
    <s v="Reutilização no processo"/>
    <s v="Verificação dos coletores "/>
    <s v="N/A"/>
    <n v="3"/>
    <n v="3"/>
    <n v="0.2"/>
    <n v="1.8"/>
  </r>
  <r>
    <x v="7"/>
    <s v="TODAS"/>
    <s v="Geração de  caixas e tubetes de papelão, papel craft, filme strech, fitilho"/>
    <x v="13"/>
    <s v="Esgotamento de aterros"/>
    <s v="N"/>
    <s v="D"/>
    <s v="A"/>
    <s v="A"/>
    <s v="R"/>
    <s v="I"/>
    <s v="L"/>
    <n v="6"/>
    <n v="3"/>
    <n v="0.2"/>
    <n v="3.6"/>
    <s v="Insignificante"/>
    <s v="Descarte em gaiolas de resíduos recicláveis, envio para  caçamba identificada  Papelão e Plásticos  localizada na Área de Resíduos, conforme Procedimento POP 04.303 - Gerenciamento de Resíduos Não Perigosos."/>
    <s v="MATRIZ DE GERENCIAMENTO DE RESÍDUOS SÓLIDOS"/>
    <s v="N/A"/>
    <n v="6"/>
    <n v="3"/>
    <n v="0.1"/>
    <n v="1.8"/>
  </r>
  <r>
    <x v="7"/>
    <s v="TODAS"/>
    <s v="Impressão "/>
    <x v="22"/>
    <s v="Alteração da qualidade da água e do solo"/>
    <s v="N"/>
    <s v="D"/>
    <s v="A"/>
    <s v="A"/>
    <s v="R"/>
    <s v="N/A"/>
    <s v="P"/>
    <n v="10"/>
    <n v="3"/>
    <n v="1"/>
    <n v="30"/>
    <s v="Insignificante"/>
    <s v="tinta videojet M 512  - descartar embalagem como resíduo perigosos"/>
    <s v="MATRIZ DE GERENCIAMENTO DE RESÍDUOS SÓLIDOS"/>
    <s v="NA"/>
    <n v="10"/>
    <n v="3"/>
    <n v="0.5"/>
    <n v="15"/>
  </r>
  <r>
    <x v="7"/>
    <s v="TODAS"/>
    <s v="Teste de Vácuo"/>
    <x v="17"/>
    <s v="Redução da disponibilidade de recursos naturais"/>
    <s v="N"/>
    <s v="D"/>
    <s v="A"/>
    <s v="A"/>
    <s v="R"/>
    <s v="I"/>
    <s v="R"/>
    <n v="6"/>
    <n v="3"/>
    <n v="0.5"/>
    <n v="9"/>
    <s v="Insignificante"/>
    <s v="Consumo consciente, troca somente quando necessário."/>
    <s v="Consumo mensal de água/ tonelada produzida"/>
    <s v="N/A"/>
    <n v="6"/>
    <n v="3"/>
    <n v="0.2"/>
    <n v="3.6"/>
  </r>
  <r>
    <x v="7"/>
    <s v="TODAS"/>
    <s v="Refrigeração da bobina "/>
    <x v="7"/>
    <s v="Redução da disponibilidade de recursos naturais"/>
    <s v="N"/>
    <s v="D"/>
    <s v="A"/>
    <s v="A"/>
    <s v="R"/>
    <s v="I"/>
    <s v="R"/>
    <n v="10"/>
    <n v="3"/>
    <n v="0.5"/>
    <n v="15"/>
    <s v="Insignificante"/>
    <s v="Manter porta da sala refrigerada sempre fechada para manutenção da temperatura "/>
    <s v="Consumo de energia/ ton produzida "/>
    <s v="N/A"/>
    <n v="10"/>
    <n v="3"/>
    <n v="0.2"/>
    <n v="6"/>
  </r>
  <r>
    <x v="8"/>
    <s v="TODAS"/>
    <s v="Atividades administrativas "/>
    <x v="22"/>
    <s v="Alteração da qualidade da água e do solo"/>
    <s v="N"/>
    <s v="D"/>
    <s v="A"/>
    <s v="A"/>
    <s v="R"/>
    <s v="N/A"/>
    <s v="L"/>
    <n v="10"/>
    <n v="3"/>
    <n v="0.5"/>
    <n v="15"/>
    <s v="Insignificante"/>
    <s v="Seguir POP 04.304 Gerenciamento de Produtos Químicos"/>
    <s v="Envio dos cartuxos de tinta para impressora diretamente para a empresa HP, que faz o tratamento correto dos resíduo/ MATRIZ DE GERENCIAMENTO DE RESÍDUOS SÓLIDOS_x000a_"/>
    <s v="N/A"/>
    <n v="10"/>
    <n v="3"/>
    <n v="0.2"/>
    <n v="6"/>
  </r>
  <r>
    <x v="8"/>
    <s v="TODAS"/>
    <s v="Atividades administrativas "/>
    <x v="23"/>
    <s v="Redução da disponibilidade de recursos naturais"/>
    <s v="N"/>
    <s v="D"/>
    <s v="A"/>
    <s v="A"/>
    <s v="R"/>
    <s v="I"/>
    <s v="P"/>
    <n v="6"/>
    <n v="3"/>
    <n v="0.2"/>
    <n v="3.6"/>
    <s v="Insignificante"/>
    <s v="Usar papel Reciclável, e o verso de rascunhos"/>
    <s v="MATRIZ DE GERENCIAMENTO DE RESÍDUOS SÓLIDOS"/>
    <s v="Só são adquiridos papéis recicláveis, no tamanho A4 para a unidade."/>
    <n v="6"/>
    <n v="3"/>
    <n v="0.2"/>
    <n v="3.6"/>
  </r>
  <r>
    <x v="8"/>
    <s v="TODAS"/>
    <s v="Atividades administrativas "/>
    <x v="19"/>
    <s v="Alteração da qualidade da água e do solo"/>
    <s v="A"/>
    <s v="D"/>
    <s v="A"/>
    <s v="A"/>
    <s v="R"/>
    <s v="N/A"/>
    <s v="R"/>
    <n v="2"/>
    <n v="7"/>
    <n v="0.5"/>
    <n v="7"/>
    <s v="Insignificante"/>
    <s v="Seguir POP 04.304 Gerenciamento de Resíduos Perigosos"/>
    <s v="Inspeção do descarte de resíduos de forma correta, nos coletores devidos, bem como encaminhá-los para a área de inflamáveis (Classe I)"/>
    <s v="N/A"/>
    <n v="2"/>
    <n v="3"/>
    <n v="0.2"/>
    <n v="1.2000000000000002"/>
  </r>
  <r>
    <x v="8"/>
    <s v="TODAS"/>
    <s v="Atividades administrativas "/>
    <x v="11"/>
    <s v="Esgotamento de aterros"/>
    <s v="N"/>
    <s v="D"/>
    <s v="A"/>
    <s v="A"/>
    <s v="R"/>
    <s v="I"/>
    <s v="L"/>
    <n v="6"/>
    <n v="3"/>
    <n v="0.1"/>
    <n v="1.8"/>
    <s v="Insignificante"/>
    <s v=" Descarte em coletores de Lixo Comum (cor cinza),  conforme Procedimento POP 04.303 - Gerenciamento de Resíduos Não Perigosos."/>
    <s v="MATRIZ DE GERENCIAMENTO DE RESÍDUOS SÓLIDOS"/>
    <s v="N/A"/>
    <n v="6"/>
    <n v="3"/>
    <n v="0.1"/>
    <n v="1.8"/>
  </r>
  <r>
    <x v="8"/>
    <s v="TODAS"/>
    <s v="Atividades administrativas "/>
    <x v="13"/>
    <s v="Esgotamento de aterros"/>
    <s v="N"/>
    <s v="D"/>
    <s v="A"/>
    <s v="A"/>
    <s v="R"/>
    <s v="I"/>
    <s v="L"/>
    <n v="6"/>
    <n v="3"/>
    <n v="0.1"/>
    <n v="1.8"/>
    <s v="Insignificante"/>
    <s v="Seguir POP 04.303 - Gerenciamento de Resíduos Não Perigosos"/>
    <s v="MATRIZ DE GERENCIAMENTO DE RESÍDUOS SÓLIDOS"/>
    <s v="N/A"/>
    <n v="6"/>
    <n v="3"/>
    <n v="0.1"/>
    <n v="1.8"/>
  </r>
  <r>
    <x v="8"/>
    <s v="TODAS"/>
    <s v="Descarte de EPI´s"/>
    <x v="24"/>
    <s v="Alteração da qualidade da água e do solo"/>
    <s v="N"/>
    <s v="D"/>
    <s v="A"/>
    <s v="A"/>
    <s v="R"/>
    <s v="N/A"/>
    <s v="L"/>
    <n v="6"/>
    <n v="3"/>
    <n v="0.5"/>
    <n v="9"/>
    <s v="Insignificante"/>
    <s v="Seguir POP 04.304 Gerenciamento de Resíduos Perigosos"/>
    <s v="MATRIZ DE GERENCIAMENTO DE RESÍDUOS SÓLIDOS"/>
    <s v="N/A"/>
    <n v="6"/>
    <n v="3"/>
    <n v="0.1"/>
    <n v="1.8"/>
  </r>
  <r>
    <x v="8"/>
    <s v="TODAS"/>
    <s v="Higienização de mãos - barreira sanitária"/>
    <x v="17"/>
    <s v="Redução da disponibilidade de recursos naturais"/>
    <s v="N"/>
    <s v="D"/>
    <s v="A"/>
    <s v="A"/>
    <s v="R"/>
    <s v="I"/>
    <s v="R"/>
    <n v="6"/>
    <n v="3"/>
    <n v="0.5"/>
    <n v="9"/>
    <s v="Insignificante"/>
    <s v="Torneira automática com spary de ar"/>
    <s v="Consumo mensal de água/ tonelada produzida"/>
    <s v="Redução do tempo de abertura das torneiras"/>
    <n v="6"/>
    <n v="3"/>
    <n v="0.2"/>
    <n v="3.6"/>
  </r>
  <r>
    <x v="8"/>
    <s v="TODAS"/>
    <s v="Higienização de mãos - barreira sanitária"/>
    <x v="23"/>
    <s v="Redução da disponibilidade de recursos naturais"/>
    <s v="N"/>
    <s v="D"/>
    <s v="A"/>
    <s v="A"/>
    <s v="R"/>
    <s v="N/A"/>
    <s v="L"/>
    <n v="10"/>
    <n v="3"/>
    <n v="0.5"/>
    <n v="15"/>
    <s v="Insignificante"/>
    <s v="Conscientização para o uso racional de papel toalha"/>
    <s v="Campanhas para incentivar a redução do consumo de papel toalha ao higienizar as mãos"/>
    <s v="N/A"/>
    <n v="10"/>
    <n v="3"/>
    <n v="0.2"/>
    <n v="6"/>
  </r>
  <r>
    <x v="8"/>
    <s v="TODAS"/>
    <s v="Higienização de mãos - barreira sanitária"/>
    <x v="25"/>
    <s v="Alteração da qualidade da água e do solo"/>
    <s v="N"/>
    <s v="D"/>
    <s v="A"/>
    <s v="A"/>
    <s v="R"/>
    <s v="N/A"/>
    <s v="R"/>
    <n v="10"/>
    <n v="3"/>
    <n v="0.5"/>
    <n v="15"/>
    <s v="Insignificante"/>
    <s v="Detergente biodegradável "/>
    <s v="FRM 04.036 -  Solicitação/Aprovação de Produtos Químicos"/>
    <s v="N/A"/>
    <n v="10"/>
    <n v="3"/>
    <n v="0.2"/>
    <n v="6"/>
  </r>
  <r>
    <x v="8"/>
    <s v="TODAS"/>
    <s v="Higienização de mãos - barreira sanitária"/>
    <x v="13"/>
    <s v="Esgotamento de aterros"/>
    <s v="N"/>
    <s v="D"/>
    <s v="A"/>
    <s v="A"/>
    <s v="R"/>
    <s v="I"/>
    <s v="L"/>
    <n v="6"/>
    <n v="3"/>
    <n v="0.2"/>
    <n v="3.6"/>
    <s v="Insignificante"/>
    <s v="Seguir POP 04.303 - Gerenciamento de Resíduos Não Perigosos"/>
    <s v="MATRIZ DE GERENCIAMENTO DE RESÍDUOS SÓLIDOS"/>
    <s v="N/A"/>
    <n v="6"/>
    <n v="3"/>
    <n v="0.2"/>
    <n v="3.6"/>
  </r>
  <r>
    <x v="8"/>
    <s v="TODAS"/>
    <s v="Higienização de mãos - barreira sanitária"/>
    <x v="26"/>
    <s v="Alteração da qualidade da água"/>
    <s v="N"/>
    <s v="D"/>
    <s v="A"/>
    <s v="A"/>
    <s v="R"/>
    <s v="N/A"/>
    <s v="P"/>
    <n v="2"/>
    <n v="3"/>
    <n v="0.5"/>
    <n v="3"/>
    <s v="Insignificante"/>
    <s v="POP 04.107 Gerenciamento de efluentes"/>
    <s v="Teste de estanqueidade das caixas separadoras_x000a_Check list e inspeções das caixas separadoras"/>
    <s v="N/A"/>
    <n v="2"/>
    <n v="3"/>
    <n v="0.2"/>
    <n v="1.2000000000000002"/>
  </r>
  <r>
    <x v="8"/>
    <s v="TODAS"/>
    <s v="Limpeza de bancadas com álcool em gel"/>
    <x v="27"/>
    <s v="Alteração da qualidade da água e do solo"/>
    <s v="N"/>
    <s v="D"/>
    <s v="A"/>
    <s v="A"/>
    <s v="R"/>
    <s v="N/A"/>
    <s v="P"/>
    <n v="6"/>
    <n v="3"/>
    <n v="0.1"/>
    <n v="1.8"/>
    <s v="Insignificante"/>
    <s v="Seguir POP 04.304 Gerenciamento de Produtos Químicos"/>
    <s v="FRM 04.036 -  Solicitação/Aprovação de Produtos Químicos"/>
    <s v="N/A"/>
    <n v="6"/>
    <n v="3"/>
    <n v="0.1"/>
    <n v="1.8"/>
  </r>
  <r>
    <x v="8"/>
    <s v="TODAS"/>
    <s v="Marcação de quadros brancos - geração de canetas "/>
    <x v="11"/>
    <s v="Esgotamento de aterros"/>
    <s v="N"/>
    <s v="D"/>
    <s v="A"/>
    <s v="A"/>
    <s v="R"/>
    <s v="I"/>
    <s v="P"/>
    <n v="2"/>
    <n v="3"/>
    <n v="0.1"/>
    <n v="0.60000000000000009"/>
    <s v="Insignificante"/>
    <s v="Seguir POP 04.303 - Gerenciamento de Resíduos Não Perigosos"/>
    <s v="Inspeção visual dos coletores  para garantir que os resíduos gerados  sejam descartados corretamente"/>
    <s v="N/A"/>
    <n v="2"/>
    <n v="3"/>
    <n v="0.1"/>
    <n v="0.60000000000000009"/>
  </r>
  <r>
    <x v="8"/>
    <s v="TODAS"/>
    <s v="Substituição de hardware"/>
    <x v="19"/>
    <s v="Alteração da qualidade da água e do solo"/>
    <s v="N"/>
    <s v="D/I"/>
    <s v="A"/>
    <s v="A"/>
    <s v="R"/>
    <s v="N/A"/>
    <s v="P"/>
    <n v="2"/>
    <n v="3"/>
    <n v="0.2"/>
    <n v="1.2000000000000002"/>
    <s v="Insignificante"/>
    <s v="POP  04.306 Gerenciamento de Resíduos Perigosos"/>
    <s v="Enviar para JDE - Jundiai_x000a_Remanufatura pelo fabricante."/>
    <s v="N/A"/>
    <n v="2"/>
    <n v="3"/>
    <n v="0.1"/>
    <n v="0.60000000000000009"/>
  </r>
  <r>
    <x v="8"/>
    <s v="TODAS"/>
    <s v="Troca de tonner"/>
    <x v="12"/>
    <s v="Alteração da qualidade da água e do solo"/>
    <s v="N"/>
    <s v="D"/>
    <s v="A"/>
    <s v="A"/>
    <s v="R"/>
    <s v="N/A"/>
    <s v="P"/>
    <n v="2"/>
    <n v="3"/>
    <n v="0.2"/>
    <n v="1.2000000000000002"/>
    <s v="Insignificante"/>
    <s v="POP  04.306 Gerenciamento de Resíduos Perigosos"/>
    <s v="Enviar para JDE - Jundiai_x000a_Remanufatura por empresa especializada aprovada (contratada pela empresa que gerencia as impressoras)._x000a_NF saida"/>
    <s v="N/A"/>
    <n v="2"/>
    <n v="3"/>
    <n v="0.1"/>
    <n v="0.60000000000000009"/>
  </r>
  <r>
    <x v="8"/>
    <s v="TODAS"/>
    <s v="Uso de avental e touca descartável "/>
    <x v="11"/>
    <s v="Esgotamento de aterros"/>
    <s v="N"/>
    <s v="D"/>
    <s v="A"/>
    <s v="A"/>
    <s v="R"/>
    <s v="I"/>
    <s v="L"/>
    <n v="6"/>
    <n v="3"/>
    <n v="0.2"/>
    <n v="3.6"/>
    <s v="Insignificante"/>
    <s v="Depositar em coletor de lixo comum._x000a_Seguir POP 04.303 - Gerenciamento de Resíduos Não Perigosos"/>
    <s v="MATRIZ DE GERENCIAMENTO DE RESÍDUOS SÓLIDOS"/>
    <s v="N/A"/>
    <n v="6"/>
    <n v="3"/>
    <n v="0.1"/>
    <n v="1.8"/>
  </r>
  <r>
    <x v="8"/>
    <s v="TODAS"/>
    <s v="Uso de energia elétrica"/>
    <x v="7"/>
    <s v="Redução da disponibilidade de recursos naturais"/>
    <s v="N"/>
    <s v="D"/>
    <s v="A"/>
    <s v="A"/>
    <s v="R"/>
    <s v="I"/>
    <s v="R"/>
    <n v="10"/>
    <n v="3"/>
    <n v="1"/>
    <n v="30"/>
    <s v="Insignificante"/>
    <s v="Troca de lâmpadas fluorescentes por LED._x000a_Uso Consciente de energia elétrica, sem desperdícios: Apagar a luz quando sair do local, desligar equipamentos em desuso, etc.                          Acionar a manutenção em caso de necessidade de reparos.                                    "/>
    <s v="Indicador de Kwh/tonelada produzida"/>
    <s v="N/A"/>
    <n v="10"/>
    <n v="3"/>
    <n v="0.2"/>
    <n v="6"/>
  </r>
  <r>
    <x v="8"/>
    <s v="TODAS"/>
    <s v="Uso de sanitários"/>
    <x v="28"/>
    <s v="Alteração da qualidade da água e do solo"/>
    <s v="N"/>
    <s v="D"/>
    <s v="A"/>
    <s v="A"/>
    <s v="R"/>
    <s v="N/A"/>
    <s v="R"/>
    <n v="10"/>
    <n v="3"/>
    <n v="0.2"/>
    <n v="6"/>
    <s v="Insignificante"/>
    <s v="Tratamento em rede pública de esgoto._x000a_"/>
    <s v="N/A"/>
    <s v="N/A"/>
    <n v="10"/>
    <n v="3"/>
    <n v="0.2"/>
    <n v="6"/>
  </r>
  <r>
    <x v="8"/>
    <s v="TODAS"/>
    <s v="Uso de sanitários"/>
    <x v="11"/>
    <s v="Esgotamento de aterros"/>
    <s v="N"/>
    <s v="D"/>
    <s v="A"/>
    <s v="A"/>
    <s v="R"/>
    <s v="I"/>
    <s v="L"/>
    <n v="10"/>
    <n v="3"/>
    <n v="0.2"/>
    <n v="6"/>
    <s v="Insignificante"/>
    <s v="Uso consciente de papéis sanitários, sem desperdícios.  Descarte em coletores de Lixo Comum (cor cinza),  conforme Procedimento POP 04.303 - Gerenciamento de Resíduos Não Perigosos."/>
    <s v="MATRIZ DE GERENCIAMENTO DE RESÍDUOS SÓLIDOS"/>
    <s v="N/A"/>
    <n v="10"/>
    <n v="3"/>
    <n v="0.2"/>
    <n v="6"/>
  </r>
  <r>
    <x v="8"/>
    <s v="TODAS"/>
    <s v="Utilização de ar condicionado"/>
    <x v="29"/>
    <s v="Alteração da qualidade do ar"/>
    <s v="A"/>
    <s v="D"/>
    <s v="A"/>
    <s v="A"/>
    <s v="R"/>
    <s v="N/A"/>
    <s v="L"/>
    <n v="10"/>
    <n v="7"/>
    <n v="0.1"/>
    <n v="7"/>
    <s v="Insignificante"/>
    <s v="Realizar manutenções preventivas e corretivas conforme solicitado, em caso de necessidade de reparos. Qualificação do fornecedor prestador de serviços de manutenção"/>
    <s v="Relatórios de Manutenção"/>
    <s v="Abertura de Ordem de Serviço para a Manutenção"/>
    <n v="10"/>
    <n v="3"/>
    <n v="0.1"/>
    <n v="3"/>
  </r>
  <r>
    <x v="9"/>
    <s v="TODAS"/>
    <s v="Análises e controle de qualidade"/>
    <x v="4"/>
    <s v="Esgotamento de aterros"/>
    <s v="N"/>
    <s v="D"/>
    <s v="A"/>
    <s v="A"/>
    <s v="R"/>
    <s v="I"/>
    <s v="P"/>
    <n v="6"/>
    <n v="3"/>
    <n v="0.1"/>
    <n v="1.8"/>
    <s v="Insignificante"/>
    <s v="Seguir POP 04.303 Gerenciamento de Resíduos não perigosos - Depositar em coletores identificados como &quot;Descarte de Café&quot;  - Compostagem  por empresa especializada e aprovada"/>
    <s v="MATRIZ DE GERENCIAMENTO DE RESÍDUOS SÓLIDOS"/>
    <s v="N/A"/>
    <n v="6"/>
    <n v="3"/>
    <n v="0.1"/>
    <n v="1.8"/>
  </r>
  <r>
    <x v="9"/>
    <s v="TODAS"/>
    <s v="Análises e controle de qualidade"/>
    <x v="30"/>
    <s v="Esgotamento de aterros"/>
    <s v="N"/>
    <s v="D"/>
    <s v="A"/>
    <s v="A"/>
    <s v="R"/>
    <s v="I"/>
    <s v="P"/>
    <n v="6"/>
    <n v="3"/>
    <n v="0.2"/>
    <n v="3.6"/>
    <s v="Insignificante"/>
    <s v="Seguir POP 04.303 Gerenciamento de Resíduos não perigosos - Depositar em coletores identificados como &quot; Embalagem&quot;  - Reciclagem por empresa especializada e aprovada"/>
    <s v="MATRIZ DE GERENCIAMENTO DE RESÍDUOS SÓLIDOS"/>
    <s v="N/A"/>
    <n v="6"/>
    <n v="3"/>
    <n v="0.1"/>
    <n v="1.8"/>
  </r>
  <r>
    <x v="9"/>
    <s v="TODAS"/>
    <s v="Análises e controle de qualidade"/>
    <x v="13"/>
    <s v="Esgotamento de aterros"/>
    <s v="N"/>
    <s v="D"/>
    <s v="A"/>
    <s v="A"/>
    <s v="R"/>
    <s v="I"/>
    <s v="P"/>
    <n v="6"/>
    <n v="3"/>
    <n v="0.1"/>
    <n v="1.8"/>
    <s v="Insignificante"/>
    <s v="Seguir POP 04.003 Gerenciamento de Resíduos não perigosos - Depositar em coletores identificados como &quot;Papel&quot;; &quot;Plastico&quot;  - Reciclagem por empresa especializada e aprovada"/>
    <s v="MATRIZ DE GERENCIAMENTO DE RESÍDUOS SÓLIDOS"/>
    <s v="N/A"/>
    <n v="6"/>
    <n v="3"/>
    <n v="0.1"/>
    <n v="1.8"/>
  </r>
  <r>
    <x v="9"/>
    <s v="TODAS"/>
    <s v="Análises e controle de qualidade "/>
    <x v="31"/>
    <s v="Esgotamento de aterros"/>
    <s v="N"/>
    <s v="D"/>
    <s v="A"/>
    <s v="A"/>
    <s v="R"/>
    <s v="I"/>
    <s v="P"/>
    <n v="6"/>
    <n v="3"/>
    <n v="0.1"/>
    <n v="1.8"/>
    <s v="Insignificante"/>
    <s v="Seguir POP 04.303 Gerenciamento de Resíduos não perigosos - depositar em coletores identificados como Resíduo Orgânico  - compostagem realizada por empresa especializada e aprovada"/>
    <s v="MATRIZ DE GERENCIAMENTO DE RESÍDUOS SÓLIDOS"/>
    <s v="N/A"/>
    <n v="6"/>
    <n v="3"/>
    <n v="0.1"/>
    <n v="1.8"/>
  </r>
  <r>
    <x v="9"/>
    <s v="TODAS"/>
    <s v="Controle de pragas "/>
    <x v="27"/>
    <s v="Alteração da qualidade da água e do solo"/>
    <s v="N"/>
    <s v="D"/>
    <s v="A"/>
    <s v="A"/>
    <s v="R"/>
    <s v="N/A"/>
    <s v="P"/>
    <n v="6"/>
    <n v="3"/>
    <n v="0.2"/>
    <n v="3.6"/>
    <s v="Insignificante"/>
    <s v="Uso de produtos aprovados pelo Ministério da Saúde/ Anvisa "/>
    <s v="Certificados dos produtos"/>
    <s v="N/A"/>
    <n v="6"/>
    <n v="3"/>
    <n v="0.2"/>
    <n v="3.6"/>
  </r>
  <r>
    <x v="9"/>
    <s v="TODAS"/>
    <s v="Correção do% de cloro da água, com cloro,  quando necessário"/>
    <x v="27"/>
    <s v="Alteração da qualidade da água e do solo"/>
    <s v="N"/>
    <s v="D"/>
    <s v="A"/>
    <s v="A"/>
    <s v="R"/>
    <s v="N/A"/>
    <s v="P"/>
    <n v="2"/>
    <n v="3"/>
    <n v="0.2"/>
    <n v="1.2000000000000002"/>
    <s v="Insignificante"/>
    <s v="Seguir POP 04.304 Gerenciamento de Produtos Químicos"/>
    <s v="NF de compra de produto químico/ Certificado da policia civil"/>
    <s v="N/A"/>
    <n v="2"/>
    <n v="3"/>
    <n v="0.2"/>
    <n v="1.2000000000000002"/>
  </r>
  <r>
    <x v="9"/>
    <s v="TODAS"/>
    <s v="Análises e controle de qualidade  - shelf life "/>
    <x v="32"/>
    <s v="Esgotamento de aterros"/>
    <s v="N"/>
    <s v="D"/>
    <s v="A"/>
    <s v="A"/>
    <s v="R"/>
    <s v="I"/>
    <s v="P"/>
    <n v="2"/>
    <n v="3"/>
    <n v="0.1"/>
    <n v="0.60000000000000009"/>
    <s v="Insignificante"/>
    <s v="Seguir POP 04.303 Gerenciamento de Resíduos não perigosos - depositar em coletores identificados como Resíduo Orgânico  - compostagem realizada por empresa especializada e aprovada"/>
    <s v="MATRIZ DE GERENCIAMENTO DE RESÍDUOS SÓLIDOS"/>
    <s v="N/A"/>
    <n v="2"/>
    <n v="3"/>
    <n v="0.1"/>
    <n v="0.60000000000000009"/>
  </r>
  <r>
    <x v="10"/>
    <s v="TODAS"/>
    <s v="Descarregamento dos carrinhos de limpeza"/>
    <x v="26"/>
    <s v="Alteração da qualidade da água"/>
    <s v="N"/>
    <s v="D"/>
    <s v="A"/>
    <s v="A"/>
    <s v="R"/>
    <s v="N/A"/>
    <s v="L"/>
    <n v="6"/>
    <n v="3"/>
    <n v="0.1"/>
    <n v="1.8"/>
    <s v="Insignificante"/>
    <s v="Descarte na caixa separadora de sólidos e água direcionada para rede de esgoto ( detergente neutro) _x000a__x000a_"/>
    <s v="Transmissão da informação para os colaboradores da equipe de limpeza, bem como acompanhamento que garanta que o descarte esteja sendo feito de forma correta/ analise de efluentes/ cronograma de limpeza das caixas/ teste de estanqueidade."/>
    <s v="N/A"/>
    <n v="6"/>
    <n v="3"/>
    <n v="0.1"/>
    <n v="1.8"/>
  </r>
  <r>
    <x v="10"/>
    <s v="TODAS"/>
    <s v="Lavagem de panos de limpeza"/>
    <x v="17"/>
    <s v="Redução da disponibilidade de recursos naturais"/>
    <s v="N"/>
    <s v="D"/>
    <s v="A"/>
    <s v="A"/>
    <s v="R"/>
    <s v="I"/>
    <s v="R"/>
    <n v="6"/>
    <n v="3"/>
    <n v="0.2"/>
    <n v="3.6"/>
    <s v="Insignificante"/>
    <s v="Consumo consciente"/>
    <s v="Consumo mensal de água/ tonelada produzida"/>
    <s v="N/A"/>
    <n v="6"/>
    <n v="3"/>
    <n v="0.1"/>
    <n v="1.8"/>
  </r>
  <r>
    <x v="10"/>
    <s v="TODAS"/>
    <s v="Lavagem de panos de limpeza"/>
    <x v="7"/>
    <s v="Redução da disponibilidade de recursos naturais"/>
    <s v="N"/>
    <s v="D"/>
    <s v="A"/>
    <s v="A"/>
    <s v="R"/>
    <s v="I"/>
    <s v="R"/>
    <n v="6"/>
    <n v="3"/>
    <n v="0.2"/>
    <n v="3.6"/>
    <s v="Insignificante"/>
    <s v="Acumular panos e ligar a máquina de lavar somente quando atingir volume máximo."/>
    <s v="Indicador de Kwh/tonelada produzida"/>
    <s v="N/A"/>
    <n v="6"/>
    <n v="3"/>
    <n v="0.1"/>
    <n v="1.8"/>
  </r>
  <r>
    <x v="10"/>
    <s v="TODAS"/>
    <s v="Lavagem de panos de limpeza"/>
    <x v="26"/>
    <s v="Alteração da qualidade da água"/>
    <s v="N"/>
    <s v="D"/>
    <s v="A"/>
    <s v="A"/>
    <s v="R"/>
    <s v="N/A"/>
    <s v="P"/>
    <n v="6"/>
    <n v="3"/>
    <n v="0.2"/>
    <n v="3.6"/>
    <s v="Insignificante"/>
    <s v="POP 04.107 Gerenciamento de efluentes"/>
    <s v="Monitoramento de efluente na saída so site._x000a_Teste de estanqueidade das caixas separadoras_x000a_Check list e inspeções da manutenção"/>
    <s v="N/A"/>
    <n v="6"/>
    <n v="3"/>
    <n v="0.2"/>
    <n v="3.6"/>
  </r>
  <r>
    <x v="10"/>
    <s v="TODAS"/>
    <s v="Limpeza da área de inflamáveis"/>
    <x v="12"/>
    <s v="Alteração da qualidade da água e do solo"/>
    <s v="N"/>
    <s v="D"/>
    <s v="A"/>
    <s v="A"/>
    <s v="R"/>
    <s v="N/A"/>
    <s v="L"/>
    <n v="6"/>
    <n v="3"/>
    <n v="0.5"/>
    <n v="9"/>
    <s v="Insignificante"/>
    <s v="POP  04.306 Gerenciamento de Resíduos Perigosos"/>
    <s v="MATRIZ DE GERENCIAMENTO DE RESÍDUOS SÓLIDOS"/>
    <s v="N/A"/>
    <n v="6"/>
    <n v="3"/>
    <n v="0.1"/>
    <n v="1.8"/>
  </r>
  <r>
    <x v="10"/>
    <s v="TODAS"/>
    <s v="Limpeza de áreas internas e externas"/>
    <x v="17"/>
    <s v="Redução da disponibilidade de recursos naturais"/>
    <s v="N"/>
    <s v="D"/>
    <s v="A"/>
    <s v="A"/>
    <s v="R"/>
    <s v="I"/>
    <s v="R"/>
    <n v="6"/>
    <n v="3"/>
    <n v="0.5"/>
    <n v="9"/>
    <s v="Insignificante"/>
    <s v="Uso da água da lagoa"/>
    <s v="Consumo mensal de água/ tonelada produzida"/>
    <s v="N/A"/>
    <n v="6"/>
    <n v="3"/>
    <n v="0.1"/>
    <n v="1.8"/>
  </r>
  <r>
    <x v="10"/>
    <s v="TODAS"/>
    <s v="Limpeza de áreas internas e externas"/>
    <x v="20"/>
    <s v="Esgotamento de aterros"/>
    <s v="N"/>
    <s v="D"/>
    <s v="A"/>
    <s v="A"/>
    <s v="R"/>
    <s v="I"/>
    <s v="L"/>
    <n v="6"/>
    <n v="3"/>
    <n v="0.1"/>
    <n v="1.8"/>
    <s v="Insignificante"/>
    <s v="POP  04.103 Gerenciamento de Resíduos  Não Perigosos"/>
    <s v="MATRIZ DE GERENCIAMENTO DE RESÍDUOS SÓLIDOS"/>
    <s v="N/A"/>
    <n v="6"/>
    <n v="3"/>
    <n v="0.1"/>
    <n v="1.8"/>
  </r>
  <r>
    <x v="10"/>
    <s v="TODAS"/>
    <s v="Limpeza de áreas internas e externas"/>
    <x v="25"/>
    <s v="Alteração da qualidade da água e do solo"/>
    <s v="N"/>
    <s v="D"/>
    <s v="A"/>
    <s v="A"/>
    <s v="R"/>
    <s v="N/A"/>
    <s v="L"/>
    <n v="2"/>
    <n v="3"/>
    <n v="0.2"/>
    <n v="1.2000000000000002"/>
    <s v="Insignificante"/>
    <s v="Todos os produtos de limpeza são biodegradáveis e com registro na anvisa"/>
    <s v="Verificação dos rótulos "/>
    <s v="N/A"/>
    <n v="2"/>
    <n v="3"/>
    <n v="0.2"/>
    <n v="1.2000000000000002"/>
  </r>
  <r>
    <x v="10"/>
    <s v="TODAS"/>
    <s v="Limpeza de áreas internas e externas"/>
    <x v="27"/>
    <s v="Alteração da qualidade da água e do solo"/>
    <s v="N"/>
    <s v="D"/>
    <s v="A"/>
    <s v="A"/>
    <s v="R"/>
    <s v="N/A"/>
    <s v="P"/>
    <n v="6"/>
    <n v="3"/>
    <n v="0.2"/>
    <n v="3.6"/>
    <s v="Insignificante"/>
    <s v="Produtos químicos aprovados, armazenados em contenção, FISPQ disponivel no local"/>
    <s v="Rota Ambiental"/>
    <s v="N/A"/>
    <n v="6"/>
    <n v="3"/>
    <n v="0.2"/>
    <n v="3.6"/>
  </r>
  <r>
    <x v="10"/>
    <s v="TODAS"/>
    <s v="Limpeza de áreas internas e externas"/>
    <x v="33"/>
    <s v="Alteração da qualidade da água e do solo"/>
    <s v="N"/>
    <s v="D"/>
    <s v="A"/>
    <s v="A"/>
    <s v="R"/>
    <s v="N/A"/>
    <s v="L"/>
    <n v="6"/>
    <n v="3"/>
    <n v="0.2"/>
    <n v="3.6"/>
    <s v="Insignificante"/>
    <s v="Direcionamento das embalagens de produto químico  vazias para a Área de  Resíduos"/>
    <s v="MATRIZ DE GERENCIAMENTO DE RESÍDUOS SÓLIDOS"/>
    <s v="N/A"/>
    <n v="6"/>
    <n v="3"/>
    <n v="0.2"/>
    <n v="3.6"/>
  </r>
  <r>
    <x v="10"/>
    <s v="TODAS"/>
    <s v="Limpeza de utensílios"/>
    <x v="25"/>
    <s v="Alteração da qualidade da água e do solo"/>
    <s v="N"/>
    <s v="D"/>
    <s v="A"/>
    <s v="A"/>
    <s v="R"/>
    <s v="N/A"/>
    <s v="L"/>
    <n v="6"/>
    <n v="3"/>
    <n v="0.2"/>
    <n v="3.6"/>
    <s v="Insignificante"/>
    <s v="Todos os produtos de limpeza são biodegradáveis e com registro na anvisa"/>
    <s v="Verificação dos rótulos "/>
    <s v="N/A"/>
    <n v="6"/>
    <n v="3"/>
    <n v="0.2"/>
    <n v="3.6"/>
  </r>
  <r>
    <x v="10"/>
    <s v="TODAS"/>
    <s v="Limpeza de utensílios"/>
    <x v="26"/>
    <s v="Alteração da qualidade da água"/>
    <s v="N"/>
    <s v="D"/>
    <s v="A"/>
    <s v="A"/>
    <s v="R"/>
    <s v="N/A"/>
    <s v="P"/>
    <n v="2"/>
    <n v="3"/>
    <n v="0.2"/>
    <n v="1.2000000000000002"/>
    <s v="Insignificante"/>
    <s v="Destinação do efluente para caixa separadora._x000a_POP 04.107 Gerenciamento de efluentes"/>
    <s v="Teste de estanqueidade das caixas separadoras_x000a_Check list e inspeções da manutenção"/>
    <s v="N/A"/>
    <n v="2"/>
    <n v="3"/>
    <n v="0.2"/>
    <n v="1.2000000000000002"/>
  </r>
  <r>
    <x v="10"/>
    <s v="TODAS"/>
    <s v="Limpeza do piso"/>
    <x v="20"/>
    <s v="Esgotamento de aterros"/>
    <s v="N"/>
    <s v="D"/>
    <s v="A"/>
    <s v="A"/>
    <s v="R"/>
    <s v="I"/>
    <s v="P"/>
    <n v="2"/>
    <n v="3"/>
    <n v="0.1"/>
    <n v="0.60000000000000009"/>
    <s v="Insignificante"/>
    <s v="Seguir POP 04.303 - Gerenciamento de Resíduos Não Perigosos"/>
    <s v="MATRIZ DE GERENCIAMENTO DE RESÍDUOS SÓLIDOS"/>
    <s v="N/A"/>
    <n v="2"/>
    <n v="3"/>
    <n v="0.1"/>
    <n v="0.60000000000000009"/>
  </r>
  <r>
    <x v="10"/>
    <s v="TODAS"/>
    <s v="Limpeza do piso com máquina"/>
    <x v="26"/>
    <s v="Alteração da qualidade da água"/>
    <s v="N"/>
    <s v="D"/>
    <s v="A"/>
    <s v="A"/>
    <s v="R"/>
    <s v="N/A"/>
    <s v="P"/>
    <n v="6"/>
    <n v="3"/>
    <n v="0.2"/>
    <n v="3.6"/>
    <s v="Insignificante"/>
    <s v="Destinação do efluente para caixa separadora._x000a_POP 04.107 Gerenciamento de efluentes"/>
    <s v="Teste de estanqueidade das caixas separadoras_x000a_Check list e inspeções da manutenção"/>
    <s v="N/A"/>
    <n v="6"/>
    <n v="3"/>
    <n v="0.2"/>
    <n v="3.6"/>
  </r>
  <r>
    <x v="10"/>
    <s v="TODAS"/>
    <s v="Recolhimento de resíduos das lixeiras"/>
    <x v="34"/>
    <s v="Esgotamento de aterros"/>
    <s v="N"/>
    <s v="D"/>
    <s v="A"/>
    <s v="A"/>
    <s v="O"/>
    <s v="I"/>
    <s v="P"/>
    <n v="6"/>
    <n v="3"/>
    <n v="0.2"/>
    <n v="3.6"/>
    <s v="Insignificante"/>
    <s v="Coletar de forma separadamente os resíduos dos coletores, se estiver misturado proceder separação  conforme POP 04.303"/>
    <s v="MATRIZ DE GERENCIAMENTO DE RESÍDUOS SÓLIDOS"/>
    <s v="N/A"/>
    <n v="6"/>
    <n v="3"/>
    <n v="0.1"/>
    <n v="1.8"/>
  </r>
  <r>
    <x v="11"/>
    <s v="TODAS"/>
    <s v="Carregamento de caminhões "/>
    <x v="3"/>
    <s v="Alteração da qualidade da água e do solo"/>
    <s v="E"/>
    <s v="D"/>
    <s v="A"/>
    <s v="A"/>
    <s v="R"/>
    <s v="N/A"/>
    <s v="P"/>
    <n v="2"/>
    <n v="40"/>
    <n v="1"/>
    <n v="80"/>
    <s v="Significante"/>
    <s v="Check list de inspeção de caminhões na portaria"/>
    <s v="Rota Ambiental"/>
    <s v="Plano de atendimento a emergência. _x000a_Uso do kit de emergência"/>
    <n v="2"/>
    <n v="3"/>
    <n v="0.5"/>
    <n v="3"/>
  </r>
  <r>
    <x v="11"/>
    <s v="TODAS"/>
    <s v="Transferência de Produtos para Matriz"/>
    <x v="29"/>
    <s v="Alteração da qualidade do ar"/>
    <s v="N"/>
    <s v="I"/>
    <s v="A"/>
    <s v="A"/>
    <s v="R"/>
    <s v="N/A"/>
    <s v="R"/>
    <n v="6"/>
    <n v="3"/>
    <n v="1"/>
    <n v="18"/>
    <s v="Insignificante"/>
    <s v="Qualificação das transportadoras, laudo de opacidade dos veículos."/>
    <s v="Controle de GEE no transporte "/>
    <s v="N/A"/>
    <n v="6"/>
    <n v="3"/>
    <n v="0.5"/>
    <n v="9"/>
  </r>
  <r>
    <x v="11"/>
    <s v="TODAS"/>
    <s v="Transferência de Produtos para Matriz"/>
    <x v="35"/>
    <s v="Alteração da qualidade da água e do solo"/>
    <s v="E"/>
    <s v="I"/>
    <s v="A"/>
    <s v="A"/>
    <s v="R"/>
    <s v="N/A"/>
    <s v="R"/>
    <n v="6"/>
    <n v="40"/>
    <n v="0.2"/>
    <n v="48"/>
    <s v="Insignificante"/>
    <s v="Seguro de carga e atendimento a emergência"/>
    <m/>
    <s v="Plano de atendimento a emergência"/>
    <n v="6"/>
    <n v="3"/>
    <n v="0.2"/>
    <n v="3.6"/>
  </r>
  <r>
    <x v="11"/>
    <s v="TODAS"/>
    <s v="Uso e manutenção de empilhadeiras - processo terceirizado - sala de baterias "/>
    <x v="26"/>
    <s v="Alteração da qualidade da água"/>
    <s v="N"/>
    <s v="I"/>
    <s v="A"/>
    <s v="A"/>
    <s v="R"/>
    <s v="N/A"/>
    <s v="P"/>
    <n v="6"/>
    <n v="3"/>
    <n v="0.5"/>
    <n v="9"/>
    <s v="Insignificante"/>
    <s v="Destinação do efluente para caixa de contenção_x000a_POP 04.107 Gerenciamento de efluentes"/>
    <s v="Teste de estanqueidade das caixas separadoras_x000a_Check list e inspeções da manutenção"/>
    <s v="N/A"/>
    <n v="6"/>
    <n v="3"/>
    <n v="0.5"/>
    <n v="9"/>
  </r>
  <r>
    <x v="11"/>
    <s v="TODAS"/>
    <s v="Uso e manutenção de empilhadeiras - processo terceirizado"/>
    <x v="3"/>
    <s v="Alteração da qualidade da água e do solo"/>
    <s v="E"/>
    <s v="I"/>
    <s v="A"/>
    <s v="A"/>
    <s v="R"/>
    <s v="N/A"/>
    <s v="P"/>
    <n v="2"/>
    <n v="7"/>
    <n v="1"/>
    <n v="14"/>
    <s v="Insignificante"/>
    <s v="Seguir POP 04.306 Gerenciamento de Resíduos Perigosos. /Manutenção preventiva nas empilhadeiras e baterias."/>
    <s v="Rota Ambiental"/>
    <s v="Plano de atendimento a emergência. _x000a_Uso do kit de emergência"/>
    <n v="2"/>
    <n v="3"/>
    <n v="0.5"/>
    <n v="3"/>
  </r>
  <r>
    <x v="11"/>
    <s v="TODAS"/>
    <s v="Manutenção preventiva realizada na sala de baterias - uso de óleo hidráulico trazido pelo terceiro"/>
    <x v="10"/>
    <s v="Alteração da qualidade da água e do solo"/>
    <s v="E"/>
    <s v="I"/>
    <s v="A"/>
    <s v="A"/>
    <s v="R"/>
    <s v="N/A"/>
    <s v="P"/>
    <n v="2"/>
    <n v="40"/>
    <n v="0.5"/>
    <n v="40"/>
    <s v="Insignificante"/>
    <s v="Localizado em área impermeável,  kit de emergência disponivel,  canaletas de contenção"/>
    <s v="Rota Ambiental"/>
    <s v="Plano de atendimento a emergência. _x000a_Uso do kit de emergência"/>
    <n v="2"/>
    <n v="3"/>
    <n v="0.5"/>
    <n v="3"/>
  </r>
  <r>
    <x v="11"/>
    <s v="TODAS"/>
    <s v="Uso e manutenção de empilhadeiras - processo terceirizado"/>
    <x v="36"/>
    <s v="Alteração da qualidade da água e do solo"/>
    <s v="N"/>
    <s v="I"/>
    <s v="A"/>
    <s v="A"/>
    <s v="R"/>
    <s v="N/A"/>
    <s v="P"/>
    <n v="2"/>
    <n v="3"/>
    <n v="0.5"/>
    <n v="3"/>
    <s v="Insignificante"/>
    <s v="Seguir POP 04.306 -Descarte de baterias / saída através de NF /Contrato com empresa para destinação de baterias./ otimizar vida util da bateria."/>
    <s v="MATRIZ DE GERENCIAMENTO DE RESÍDUOS SÓLIDOS_x000a_"/>
    <s v="N/A"/>
    <n v="2"/>
    <n v="3"/>
    <n v="0.5"/>
    <n v="3"/>
  </r>
  <r>
    <x v="11"/>
    <s v="TODAS"/>
    <s v="Uso e manutenção de empilhadeiras - processo terceirizado"/>
    <x v="37"/>
    <s v="Alteração da qualidade da água e do solo"/>
    <s v="N"/>
    <s v="I"/>
    <s v="A"/>
    <s v="A"/>
    <s v="R"/>
    <s v="N/A"/>
    <s v="P"/>
    <n v="6"/>
    <n v="3"/>
    <n v="0.5"/>
    <n v="9"/>
    <s v="Insignificante"/>
    <s v="Seguir POP 04.006 Gerenciamento de Resíduos Perigosos"/>
    <s v="MATRIZ DE GERENCIAMENTO DE RESÍDUOS SÓLIDOS"/>
    <s v="N/A"/>
    <n v="6"/>
    <n v="3"/>
    <n v="0.5"/>
    <n v="9"/>
  </r>
  <r>
    <x v="12"/>
    <s v="TODAS"/>
    <s v="Armazenamento de produtos "/>
    <x v="9"/>
    <s v="Esgotamento de aterros"/>
    <s v="N"/>
    <s v="D"/>
    <s v="A"/>
    <s v="A"/>
    <s v="R"/>
    <s v="I"/>
    <s v="P"/>
    <n v="3"/>
    <n v="3"/>
    <n v="0.5"/>
    <n v="4.5"/>
    <s v="Insignificante"/>
    <s v="Armazenar em local identificado e devolver ao fabricante "/>
    <s v="MATRIZ DE GERENCIAMENTO DE RESÍDUOS SÓLIDOS"/>
    <s v="N/A"/>
    <n v="3"/>
    <n v="3"/>
    <n v="0.2"/>
    <n v="1.8"/>
  </r>
  <r>
    <x v="12"/>
    <s v="TODAS"/>
    <s v="Armazenamento de produtos "/>
    <x v="7"/>
    <s v="Redução da disponibilidade de recursos naturais"/>
    <s v="N"/>
    <s v="D"/>
    <s v="A"/>
    <s v="A"/>
    <s v="R"/>
    <s v="I"/>
    <s v="R"/>
    <n v="10"/>
    <n v="3"/>
    <n v="0.5"/>
    <n v="15"/>
    <s v="Insignificante"/>
    <s v="Uso de telhas translúcidas no armazem/ conscientização"/>
    <s v="Indicador de Kwh/tonelada produzida_x000a_"/>
    <s v="N/A"/>
    <n v="10"/>
    <n v="3"/>
    <n v="0.2"/>
    <n v="6"/>
  </r>
  <r>
    <x v="12"/>
    <s v="TODAS"/>
    <s v="Armazenamento de produtos "/>
    <x v="20"/>
    <s v="Esgotamento de aterros"/>
    <s v="N"/>
    <s v="D"/>
    <s v="A"/>
    <s v="A"/>
    <s v="R"/>
    <s v="I"/>
    <s v="P"/>
    <n v="6"/>
    <n v="3"/>
    <n v="0.5"/>
    <n v="9"/>
    <s v="Insignificante"/>
    <s v="Seguir POP 04.303 Gerenciamento de resíduos não perigosos - descarte em coletor adequado/ conscientização."/>
    <s v="MATRIZ DE GERENCIAMENTO DE RESÍDUOS SÓLIDOS"/>
    <s v="N/A"/>
    <n v="6"/>
    <n v="3"/>
    <n v="0.2"/>
    <n v="3.6"/>
  </r>
  <r>
    <x v="12"/>
    <s v="TODAS"/>
    <s v="Armazenamento de produtos "/>
    <x v="38"/>
    <s v="Esgotamento de aterros"/>
    <s v="N"/>
    <s v="D"/>
    <s v="A"/>
    <s v="A"/>
    <s v="R"/>
    <s v="I"/>
    <s v="P"/>
    <n v="6"/>
    <n v="3"/>
    <n v="0.5"/>
    <n v="9"/>
    <s v="Insignificante"/>
    <s v="Seguir POP 04.303 Gerenciamento de Resíduos não perigosos , depositar em coletor identificado como &quot;Plástico&quot;   &quot; Papelão&quot;- reciclagem realizada por empresa especializada e aprovada"/>
    <s v="MATRIZ DE GERENCIAMENTO DE RESÍDUOS SÓLIDOS"/>
    <s v="N/A"/>
    <n v="6"/>
    <n v="3"/>
    <n v="0.2"/>
    <n v="3.6"/>
  </r>
  <r>
    <x v="13"/>
    <s v="TODAS"/>
    <s v="Almoxarifado da manutenção"/>
    <x v="10"/>
    <s v="Alteração da qualidade da água e do solo"/>
    <s v="E"/>
    <s v="D"/>
    <s v="A"/>
    <s v="A"/>
    <s v="R"/>
    <s v="N/A"/>
    <s v="P"/>
    <n v="2"/>
    <n v="40"/>
    <n v="0.2"/>
    <n v="16"/>
    <s v="Insignificante"/>
    <s v="Armazenamento de produtos químicos sólidos e em spray em pequena quantidade  com FISPQ disponível no local de armazenamento._x000a_"/>
    <s v="Rota Ambiental"/>
    <s v="Plano de atendimento a emergência. _x000a_Uso do kit de emergência"/>
    <n v="2"/>
    <n v="3"/>
    <n v="0.2"/>
    <n v="1.2000000000000002"/>
  </r>
  <r>
    <x v="13"/>
    <s v="TODAS"/>
    <s v="Área de lavagem de peças"/>
    <x v="39"/>
    <s v="Alteração da qualidade da água e do solo"/>
    <s v="N"/>
    <s v="D"/>
    <s v="A"/>
    <s v="A"/>
    <s v="R"/>
    <s v="N/A"/>
    <s v="L"/>
    <n v="2"/>
    <n v="3"/>
    <n v="0.5"/>
    <n v="3"/>
    <s v="Insignificante"/>
    <s v="Utilização da solução BIO CIRCLE, descarte como resíduo classe I quando atingir a saturação da solução. Manter em área sob contenção"/>
    <s v="Rota Ambiental"/>
    <s v="N/A"/>
    <n v="2"/>
    <n v="3"/>
    <n v="0.2"/>
    <n v="1.2000000000000002"/>
  </r>
  <r>
    <x v="13"/>
    <s v="TODAS"/>
    <s v="Limpeza da Caixa de água "/>
    <x v="17"/>
    <s v="Redução da disponibilidade de recursos naturais"/>
    <s v="N"/>
    <s v="D"/>
    <s v="A"/>
    <s v="A"/>
    <s v="R"/>
    <s v="I"/>
    <s v="R"/>
    <n v="3"/>
    <n v="3"/>
    <n v="0.5"/>
    <n v="4.5"/>
    <s v="Insignificante"/>
    <s v="Limpeza da caixa semestral após consumo máximo e esgotamento da caixa."/>
    <s v="Laudo de potabilidade._x000a_Consumo de água"/>
    <s v="N/A"/>
    <n v="3"/>
    <n v="3"/>
    <n v="0.2"/>
    <n v="1.8"/>
  </r>
  <r>
    <x v="13"/>
    <s v="TODAS"/>
    <s v="Limpeza de caixas separadoras de água e óleo"/>
    <x v="39"/>
    <s v="Alteração da qualidade da água e do solo"/>
    <s v="N"/>
    <s v="D"/>
    <s v="A"/>
    <s v="A"/>
    <s v="R"/>
    <s v="N/A"/>
    <s v="R"/>
    <n v="2"/>
    <n v="3"/>
    <n v="1"/>
    <n v="6"/>
    <s v="Insignificante"/>
    <s v="Check list de inspeção, cronograma de limpeza e equipe qualificada para limpeza, manisfesto de transporte e residuo e certificado de destinação/ Teste de estanqueidade"/>
    <s v="Análise de efluente do esgoto sanitario _x000a__x000a_"/>
    <s v="Em caso de entupimento ou vazamento, abrir Ordem de Serviço para manutenção"/>
    <n v="2"/>
    <n v="3"/>
    <n v="0.5"/>
    <n v="3"/>
  </r>
  <r>
    <x v="13"/>
    <s v="TODAS"/>
    <s v="Limpeza de máquinas  - uso de toalhas com isopropanol"/>
    <x v="12"/>
    <s v="Alteração da qualidade da água e do solo"/>
    <s v="N"/>
    <s v="D"/>
    <s v="A"/>
    <s v="A"/>
    <s v="R"/>
    <s v="I"/>
    <s v="R"/>
    <n v="2"/>
    <n v="3"/>
    <n v="0.5"/>
    <n v="3"/>
    <s v="Insignificante"/>
    <s v="Uso restrito para limpeza de  cabeçotes de máquina de empacotamento, uso insignificante, descarte conforme POP 04.306"/>
    <s v="Consumo via NF de entrada"/>
    <s v="N/A"/>
    <n v="2"/>
    <n v="3"/>
    <n v="0.2"/>
    <n v="1.2000000000000002"/>
  </r>
  <r>
    <x v="13"/>
    <s v="TODAS"/>
    <s v="Lubrificação de máquinas "/>
    <x v="39"/>
    <s v="Alteração da qualidade da água e do solo"/>
    <s v="N"/>
    <s v="D"/>
    <s v="A"/>
    <s v="A"/>
    <s v="R"/>
    <s v="N/A"/>
    <s v="L"/>
    <n v="2"/>
    <n v="3"/>
    <n v="0.5"/>
    <n v="3"/>
    <s v="Insignificante"/>
    <s v="Descarte dos resíduos conforme POP 04.306._x000a_Disponibilização de coletores para resíduos perigosos nas sala de uso da manutenção. "/>
    <s v="MATRIZ DE GERENCIAMENTO DE RESÍDUOS SÓLIDOS"/>
    <s v="N/A"/>
    <n v="2"/>
    <n v="3"/>
    <n v="0.5"/>
    <n v="3"/>
  </r>
  <r>
    <x v="13"/>
    <s v="TODAS"/>
    <s v="Manutenção da Casa de bombas"/>
    <x v="3"/>
    <s v="Alteração da qualidade da água e do solo"/>
    <s v="E"/>
    <s v="D"/>
    <s v="A"/>
    <s v="A"/>
    <s v="R"/>
    <s v="N/A"/>
    <s v="P"/>
    <n v="2"/>
    <n v="40"/>
    <n v="0.5"/>
    <n v="40"/>
    <s v="Insignificante"/>
    <s v="Check list de inspeção realizado periodicamente"/>
    <s v="Rota Ambiental"/>
    <s v="Plano de atendimento a emergência. _x000a_Uso do kit de emergência"/>
    <n v="2"/>
    <n v="3"/>
    <n v="0.5"/>
    <n v="3"/>
  </r>
  <r>
    <x v="13"/>
    <s v="TODAS"/>
    <s v="Manutenção da Subestação "/>
    <x v="0"/>
    <s v="Danos materiais e alteração da qualidade da água, do ar e do solo"/>
    <s v="E"/>
    <s v="I"/>
    <s v="A"/>
    <s v="A"/>
    <s v="R"/>
    <s v="N/A"/>
    <s v="R"/>
    <n v="1"/>
    <n v="40"/>
    <n v="0.2"/>
    <n v="8"/>
    <s v="Insignificante"/>
    <s v="Transformadores a seco, realizada manutenção preventiva anual"/>
    <s v="Check list de inspeção realizado periodicamente"/>
    <s v="Plano de atendimento a emergência"/>
    <n v="1"/>
    <n v="3"/>
    <n v="0.2"/>
    <n v="0.60000000000000009"/>
  </r>
  <r>
    <x v="13"/>
    <s v="TODAS"/>
    <s v="Manutenção de ar condicionado"/>
    <x v="29"/>
    <s v="Alteração da qualidade do ar"/>
    <s v="N"/>
    <s v="I"/>
    <s v="A"/>
    <s v="A"/>
    <s v="R"/>
    <s v="N/A"/>
    <s v="P"/>
    <n v="2"/>
    <n v="3"/>
    <n v="0.2"/>
    <n v="1.2000000000000002"/>
    <s v="Insignificante"/>
    <s v="Manutenção preventiva por empresa contratada, cadastrada no IBAMA, utilização do  Gás MO 99 em substituição gradativa  do gás R22 por MO 99.  Limpeza dos filtros"/>
    <s v="Check list de inspeção realizada periodicamente"/>
    <s v="Abertura de Ordem de Serviço para a Manutenção"/>
    <n v="2"/>
    <n v="3"/>
    <n v="0.2"/>
    <n v="1.2000000000000002"/>
  </r>
  <r>
    <x v="13"/>
    <s v="TODAS"/>
    <s v="Manutenção do SPDA"/>
    <x v="0"/>
    <s v="Danos materiais e alteração da qualidade da água, do ar e do solo"/>
    <s v="E"/>
    <s v="D"/>
    <s v="A"/>
    <s v="A"/>
    <s v="R"/>
    <s v="N/A"/>
    <s v="R"/>
    <n v="1"/>
    <n v="40"/>
    <n v="0.1"/>
    <n v="4"/>
    <s v="Insignificante"/>
    <s v="Medição das descargas a cada 03 anos realizada por empresa contratada. "/>
    <s v="Inspeção visual das descidas realizadas pela Manutenção JDE a cada 06 meses"/>
    <s v="Plano de atendimento a emergência"/>
    <n v="1"/>
    <n v="3"/>
    <n v="0.1"/>
    <n v="0.30000000000000004"/>
  </r>
  <r>
    <x v="13"/>
    <s v="TODAS"/>
    <s v="Manutenção e uso do Gerador "/>
    <x v="40"/>
    <s v="Redução da disponibilidade de recursos naturais"/>
    <s v="N"/>
    <s v="D/I"/>
    <s v="A"/>
    <s v="A"/>
    <s v="R"/>
    <s v="N/A"/>
    <s v="R"/>
    <n v="10"/>
    <n v="3"/>
    <n v="0.5"/>
    <n v="15"/>
    <s v="Insignificante"/>
    <s v="Transportar e armazenar produtos perigoso conforme POP 04.306 Gerenciamento de Resíduos Perigosos."/>
    <s v="Consumo de óleo diesel"/>
    <s v="N/A"/>
    <n v="10"/>
    <n v="3"/>
    <n v="0.1"/>
    <n v="3"/>
  </r>
  <r>
    <x v="13"/>
    <s v="TODAS"/>
    <s v="Manutenção e uso do Gerador "/>
    <x v="41"/>
    <s v="Alteração da qualidade do ar"/>
    <s v="A"/>
    <s v="D/I"/>
    <s v="A"/>
    <s v="A"/>
    <s v="R"/>
    <s v="N/A"/>
    <s v="L"/>
    <n v="2"/>
    <n v="7"/>
    <n v="1"/>
    <n v="14"/>
    <s v="Insignificante"/>
    <s v="Seguir POP 04.019 Controle de emissões atmosféricas "/>
    <s v="FRM 04.128 Monitoramento de Fumaça preta do gerador "/>
    <s v="N/A"/>
    <n v="2"/>
    <n v="3"/>
    <n v="0.5"/>
    <n v="3"/>
  </r>
  <r>
    <x v="13"/>
    <s v="TODAS"/>
    <s v="Manutenção e uso do Gerador "/>
    <x v="3"/>
    <s v="Alteração da qualidade da água e do solo"/>
    <s v="E"/>
    <s v="D/I"/>
    <s v="A"/>
    <s v="A"/>
    <s v="R"/>
    <s v="N/A"/>
    <s v="P"/>
    <n v="2"/>
    <n v="40"/>
    <n v="0.5"/>
    <n v="40"/>
    <s v="Insignificante"/>
    <s v="Manutenções preventiva anual, utilizados somente para emergência não são utilizados para a continuidade da produção"/>
    <s v="Rota Ambiental"/>
    <s v="Plano de atendimento a emergência. _x000a_Uso do kit de emergência"/>
    <n v="2"/>
    <n v="3"/>
    <n v="0.5"/>
    <n v="3"/>
  </r>
  <r>
    <x v="13"/>
    <s v="TODAS"/>
    <s v="Manutenção e uso dos Compressores "/>
    <x v="0"/>
    <s v="Danos materiais e alteração da qualidade da água, do ar e do solo"/>
    <s v="E"/>
    <s v="D"/>
    <s v="A"/>
    <s v="A"/>
    <s v="R"/>
    <s v="N/A"/>
    <s v="R"/>
    <n v="1"/>
    <n v="40"/>
    <n v="0.1"/>
    <n v="4"/>
    <s v="Insignificante"/>
    <s v="Atendimento a NR 13 "/>
    <s v="Laudo de inspeção dos compressores / Prontuários"/>
    <s v="Plano de atendimento a emergência"/>
    <n v="1"/>
    <n v="3"/>
    <n v="0.1"/>
    <n v="0.30000000000000004"/>
  </r>
  <r>
    <x v="13"/>
    <s v="TODAS"/>
    <s v="Manutenção e uso dos Compressores "/>
    <x v="3"/>
    <s v="Alteração da qualidade da água e do solo"/>
    <s v="E"/>
    <s v="D"/>
    <s v="A"/>
    <s v="A"/>
    <s v="R"/>
    <s v="N/A"/>
    <s v="P"/>
    <n v="2"/>
    <n v="40"/>
    <n v="0.2"/>
    <n v="16"/>
    <s v="Insignificante"/>
    <s v="Cronograma de manutenção preventiva, troca de filtro e descarte classe 1._x000a_Seguir POP 04.304 - Gerenciamento de Resíduos Perigosos "/>
    <s v="Rota Ambiental"/>
    <s v="Plano de atendimento a emergência. _x000a_Uso do kit de emergência"/>
    <n v="2"/>
    <n v="3"/>
    <n v="0.2"/>
    <n v="1.2000000000000002"/>
  </r>
  <r>
    <x v="13"/>
    <s v="TODAS"/>
    <s v="Substituição de lâmpadas fluorescentes "/>
    <x v="42"/>
    <s v="Alteração da qualidade do ar, água e solo"/>
    <s v="N"/>
    <s v="D"/>
    <s v="A"/>
    <s v="A"/>
    <s v="R"/>
    <s v="I"/>
    <s v="R"/>
    <n v="1"/>
    <n v="3"/>
    <n v="0.5"/>
    <n v="1.5"/>
    <s v="Insignificante"/>
    <s v="Armazenados em local definido, acesso restrito sala de inflamáveis . Descarte para descontaminação em empresa licenciada."/>
    <s v="MATRIZ DE GERENCIAMENTO DE RESÍDUOS SÓLIDOS"/>
    <s v="N/A"/>
    <n v="1"/>
    <n v="3"/>
    <n v="0.2"/>
    <n v="0.60000000000000009"/>
  </r>
  <r>
    <x v="13"/>
    <s v="TODAS"/>
    <s v="Uso da oficina"/>
    <x v="39"/>
    <s v="Alteração da qualidade da água e do solo"/>
    <s v="N"/>
    <s v="D"/>
    <s v="A"/>
    <s v="A"/>
    <s v="R"/>
    <s v="I"/>
    <s v="L"/>
    <n v="2"/>
    <n v="3"/>
    <n v="0.5"/>
    <n v="3"/>
    <s v="Insignificante"/>
    <s v="Descarte dos resíduos conforme POP 04.006._x000a_Disponibilização de coletores para resíduos perigosos nas sala de uso da manutenção. "/>
    <s v="MATRIZ DE GERENCIAMENTO DE RESÍDUOS SÓLIDOS"/>
    <s v="N/A"/>
    <n v="2"/>
    <n v="3"/>
    <n v="0.2"/>
    <n v="1.2000000000000002"/>
  </r>
  <r>
    <x v="13"/>
    <s v="TODAS"/>
    <s v="Uso da oficina"/>
    <x v="43"/>
    <s v="Alteração da qualidade da água e do solo"/>
    <s v="N"/>
    <s v="D"/>
    <s v="A"/>
    <s v="A"/>
    <s v="R"/>
    <s v="I"/>
    <s v="P"/>
    <n v="1"/>
    <n v="3"/>
    <n v="0.5"/>
    <n v="1.5"/>
    <s v="Insignificante"/>
    <s v="Descarte dos resíduos conforme POP 04.306._x000a_Disponibilização de coletores para resíduos perigosos nas sala de uso da manutenção. "/>
    <s v="MATRIZ DE GERENCIAMENTO DE RESÍDUOS SÓLIDOS"/>
    <s v="N/A"/>
    <n v="1"/>
    <n v="3"/>
    <n v="0.2"/>
    <n v="0.60000000000000009"/>
  </r>
  <r>
    <x v="13"/>
    <s v="TODAS"/>
    <s v="Uso da oficina"/>
    <x v="44"/>
    <s v="Alteração da qualidade da água e do solo"/>
    <s v="N"/>
    <s v="D"/>
    <s v="A"/>
    <s v="A"/>
    <s v="R"/>
    <s v="I"/>
    <s v="L"/>
    <n v="6"/>
    <n v="3"/>
    <n v="0.5"/>
    <n v="9"/>
    <s v="Insignificante"/>
    <s v="Descarte dos resíduos conforme POP 04.306._x000a_Disponibilização de coletores para resíduos perigosos nas sala de uso da manutenção. "/>
    <s v="MATRIZ DE GERENCIAMENTO DE RESÍDUOS SÓLIDOS"/>
    <s v="N/A"/>
    <n v="6"/>
    <n v="3"/>
    <n v="0.2"/>
    <n v="3.6"/>
  </r>
  <r>
    <x v="13"/>
    <s v="TODAS"/>
    <s v="Uso da oficina"/>
    <x v="27"/>
    <s v="Alteração da qualidade da água e do solo"/>
    <s v="N"/>
    <s v="D"/>
    <s v="A"/>
    <s v="A"/>
    <s v="R"/>
    <s v="N/A"/>
    <s v="P"/>
    <n v="6"/>
    <n v="3"/>
    <n v="0.5"/>
    <n v="9"/>
    <s v="Insignificante"/>
    <s v="Seguir POP 04.304 Gerenciamento de Produtos Químicos "/>
    <s v="Rota Ambiental"/>
    <s v="N/A"/>
    <n v="6"/>
    <n v="3"/>
    <n v="0.5"/>
    <n v="9"/>
  </r>
  <r>
    <x v="13"/>
    <s v="TODAS"/>
    <s v="Uso da oficina"/>
    <x v="45"/>
    <s v="Esgotamento de aterros"/>
    <s v="N"/>
    <s v="D"/>
    <s v="A"/>
    <s v="A"/>
    <s v="R"/>
    <s v="I"/>
    <s v="L"/>
    <n v="2"/>
    <n v="3"/>
    <n v="0.2"/>
    <n v="1.2000000000000002"/>
    <s v="Insignificante"/>
    <s v="Direcionados para coletor/ caçamba de sucata metálica "/>
    <s v="MATRIZ DE GERENCIAMENTO DE RESÍDUOS SÓLIDOS"/>
    <s v="N/A"/>
    <n v="2"/>
    <n v="3"/>
    <n v="0.1"/>
    <n v="0.60000000000000009"/>
  </r>
  <r>
    <x v="14"/>
    <s v="TODAS"/>
    <s v="Contratação de Transporte de cargas perigosos"/>
    <x v="35"/>
    <s v="Alteração da qualidade da água e do solo"/>
    <s v="E"/>
    <s v="I"/>
    <s v="A"/>
    <s v="A"/>
    <s v="R"/>
    <s v="N/A"/>
    <s v="R"/>
    <n v="1"/>
    <n v="40"/>
    <n v="0.5"/>
    <n v="20"/>
    <s v="Insignificante"/>
    <s v="POP 04.105 Transporte de Cargas perigosas "/>
    <s v="Check list de inspeção veicular para transporte de cargas perigosoas"/>
    <s v="N/A"/>
    <n v="1"/>
    <n v="3"/>
    <n v="0.2"/>
    <n v="0.60000000000000009"/>
  </r>
  <r>
    <x v="14"/>
    <s v="TODAS"/>
    <s v="Utilização do kit de emergência "/>
    <x v="11"/>
    <s v="Esgotamento de aterros"/>
    <s v="N"/>
    <s v="D"/>
    <s v="A"/>
    <s v="A"/>
    <s v="R"/>
    <s v="I"/>
    <s v="P"/>
    <n v="2"/>
    <n v="3"/>
    <n v="0.1"/>
    <n v="0.60000000000000009"/>
    <s v="Insignificante"/>
    <s v="Direcionamento para as sala de inflamáveis/ Resíduos Classe I"/>
    <s v="Rota Ambiental"/>
    <s v="N/A"/>
    <n v="2"/>
    <n v="3"/>
    <n v="0.1"/>
    <n v="0.60000000000000009"/>
  </r>
  <r>
    <x v="15"/>
    <s v="TODAS"/>
    <s v="Análise laboratorial: cor, umidade, densidade, granulometria e aspecto"/>
    <x v="4"/>
    <s v="Esgotamento de aterros"/>
    <s v="N"/>
    <s v="D"/>
    <s v="A"/>
    <s v="A"/>
    <s v="R"/>
    <s v="I"/>
    <s v="P"/>
    <n v="6"/>
    <n v="3"/>
    <n v="0.1"/>
    <n v="1.8"/>
    <s v="Insignificante"/>
    <s v="Armazenamento em coletor apropriado, descarte como orgânico - envio para compostagem"/>
    <s v="MATRIZ DE GERENCIAMENTO DE RESÍDUOS SÓLIDOS"/>
    <s v="N/A"/>
    <n v="6"/>
    <n v="3"/>
    <n v="0.1"/>
    <n v="1.8"/>
  </r>
  <r>
    <x v="15"/>
    <s v="TODAS"/>
    <s v="Análise laboratorial: cor, umidade, densidade, granulometria e aspecto"/>
    <x v="13"/>
    <s v="Esgotamento de aterros"/>
    <s v="N"/>
    <s v="D"/>
    <s v="A"/>
    <s v="A"/>
    <s v="R"/>
    <s v="I"/>
    <s v="P"/>
    <n v="6"/>
    <n v="3"/>
    <n v="0.1"/>
    <n v="1.8"/>
    <s v="Insignificante"/>
    <s v="Seguir POP 04.303 Gerenciamento de Resíduos não perigosos - Depositar em coletores identificados como &quot;Papel&quot;; &quot;Plastico&quot;  - Reciclagem por empresa especializada e aprovada"/>
    <s v="MATRIZ DE GERENCIAMENTO DE RESÍDUOS SÓLIDOS"/>
    <s v="N/A"/>
    <n v="6"/>
    <n v="3"/>
    <n v="0.1"/>
    <n v="1.8"/>
  </r>
  <r>
    <x v="15"/>
    <s v="TODAS"/>
    <s v="Moagem dos grãos torrados "/>
    <x v="17"/>
    <s v="Redução da disponibilidade de recursos naturais"/>
    <s v="N"/>
    <s v="D"/>
    <s v="A"/>
    <s v="A"/>
    <s v="R"/>
    <s v="I"/>
    <s v="R"/>
    <n v="10"/>
    <n v="7"/>
    <n v="3"/>
    <n v="210"/>
    <s v="Significante"/>
    <s v=" Verificação constante da ocorrência vazamentos  "/>
    <s v="Consumo mensal de água/ tonelada produzida"/>
    <s v="Abrir Ordem de Serviço para manutenção"/>
    <n v="10"/>
    <n v="3"/>
    <n v="1"/>
    <n v="30"/>
  </r>
  <r>
    <x v="15"/>
    <s v="TODAS"/>
    <s v="Moagem dos grãos torrados "/>
    <x v="7"/>
    <s v="Redução da disponibilidade de recursos naturais"/>
    <s v="N"/>
    <s v="D"/>
    <s v="A"/>
    <s v="A"/>
    <s v="R"/>
    <s v="I"/>
    <s v="R"/>
    <n v="10"/>
    <n v="3"/>
    <n v="1"/>
    <n v="30"/>
    <s v="Insignificante"/>
    <s v="Otimizar temperatura/ ciclo  de torra"/>
    <s v="Indicador de Kwh/tonelada produzida "/>
    <s v="N/A"/>
    <n v="10"/>
    <n v="3"/>
    <n v="1"/>
    <n v="30"/>
  </r>
  <r>
    <x v="15"/>
    <s v="TODAS"/>
    <s v="Moagem dos grãos torrados "/>
    <x v="6"/>
    <s v="Alteração da qualidade do ar"/>
    <s v="N"/>
    <s v="D"/>
    <s v="A"/>
    <s v="A"/>
    <s v="R"/>
    <s v="E"/>
    <s v="R"/>
    <n v="6"/>
    <n v="15"/>
    <n v="6"/>
    <n v="540"/>
    <s v="Significante"/>
    <s v="Otimizar queima de combustível"/>
    <s v="FRM 04.101 Verificação do entorno"/>
    <s v="N/A"/>
    <n v="6"/>
    <n v="3"/>
    <n v="3"/>
    <n v="54"/>
  </r>
  <r>
    <x v="15"/>
    <s v="TODAS"/>
    <s v="Moagem dos grãos torrados  - refrigeração dos rolos por chiller"/>
    <x v="17"/>
    <s v="Redução da disponibilidade de recursos naturais"/>
    <s v="N"/>
    <s v="D"/>
    <s v="A"/>
    <s v="A"/>
    <s v="R"/>
    <s v="I"/>
    <s v="P"/>
    <n v="10"/>
    <n v="3"/>
    <n v="1"/>
    <n v="30"/>
    <s v="Insignificante"/>
    <s v=" Verificação constante da ocorrência vazamentos  "/>
    <s v="Consumo mensal de água/ tonelada produzida"/>
    <s v="Abrir Ordem de Serviço para manutenção"/>
    <n v="10"/>
    <n v="3"/>
    <n v="0.5"/>
    <n v="15"/>
  </r>
  <r>
    <x v="15"/>
    <s v="TODAS"/>
    <s v="Moagem dos grãos torrados  - refrigeração dos rolos por chiller"/>
    <x v="29"/>
    <s v="Alteração da qualidade do ar"/>
    <s v="A"/>
    <s v="D"/>
    <s v="A"/>
    <s v="A"/>
    <s v="R"/>
    <s v="N/A"/>
    <s v="P"/>
    <n v="10"/>
    <n v="7"/>
    <n v="0.2"/>
    <n v="14"/>
    <s v="Insignificante"/>
    <s v="Uso do gás R 407 "/>
    <s v="N/A"/>
    <s v="N/A"/>
    <n v="10"/>
    <n v="3"/>
    <n v="0.2"/>
    <n v="6"/>
  </r>
  <r>
    <x v="15"/>
    <s v="TODAS"/>
    <s v="Moagem dos grãos torrados "/>
    <x v="2"/>
    <s v="Esgotamento de aterros"/>
    <s v="N"/>
    <s v="D"/>
    <s v="A"/>
    <s v="A"/>
    <s v="R"/>
    <s v="I"/>
    <s v="P"/>
    <n v="6"/>
    <n v="3"/>
    <n v="0.5"/>
    <n v="9"/>
    <s v="Insignificante"/>
    <s v="Descarte em coletores de resíduos de  café, e em caçambas identificadas como Descarte de Película na Área de Resíduos, conforme Procedimento POP 04.303 - Gerenciamento de Resíduos Não Perigosos."/>
    <s v="MATRIZ DE GERENCIAMENTO DE RESÍDUOS SÓLIDOS/ ROTA AMBIENTAL"/>
    <s v="N/A"/>
    <n v="6"/>
    <n v="3"/>
    <n v="0.2"/>
    <n v="3.6"/>
  </r>
  <r>
    <x v="15"/>
    <s v="TODAS"/>
    <s v="Moagem dos grãos torrados "/>
    <x v="0"/>
    <s v="Danos materiais e alteração da qualidade da água, do ar e do solo"/>
    <s v="E"/>
    <s v="D"/>
    <s v="A"/>
    <s v="A"/>
    <s v="R"/>
    <s v="N/A"/>
    <s v="P"/>
    <n v="2"/>
    <n v="40"/>
    <n v="0.1"/>
    <n v="8"/>
    <s v="Insignificante"/>
    <s v="Manutenção preventiva dos equipamentos"/>
    <s v="Rota Ambiental"/>
    <s v="Plano de atendimento a emergência"/>
    <n v="2"/>
    <n v="3"/>
    <n v="0.1"/>
    <n v="0.60000000000000009"/>
  </r>
  <r>
    <x v="15"/>
    <s v="TODAS"/>
    <s v="Moagem dos grãos torrados "/>
    <x v="3"/>
    <s v="Alteração da qualidade da água e do solo"/>
    <s v="E"/>
    <s v="D"/>
    <s v="A"/>
    <s v="A"/>
    <s v="R"/>
    <s v="N/A"/>
    <s v="P"/>
    <n v="2"/>
    <n v="40"/>
    <n v="0.1"/>
    <n v="8"/>
    <s v="Insignificante"/>
    <s v="Manutenção preventiva em equipamentos criticos "/>
    <s v="Rota Ambiental"/>
    <s v="Plano de atendimento a emergência"/>
    <n v="2"/>
    <n v="3"/>
    <n v="0.1"/>
    <n v="0.60000000000000009"/>
  </r>
  <r>
    <x v="15"/>
    <s v="TODAS"/>
    <s v="Moagem dos grãos torrados "/>
    <x v="46"/>
    <s v="Esgotamento de aterros"/>
    <s v="N"/>
    <s v="D"/>
    <s v="A"/>
    <s v="A"/>
    <s v="R"/>
    <s v="I"/>
    <s v="P"/>
    <n v="3"/>
    <n v="3"/>
    <n v="0.1"/>
    <n v="0.9"/>
    <s v="Insignificante"/>
    <s v="Seguir POP 04.303 Gerenciamento de Resíduos não perigosos - Depositar em coletores identificados como &quot; Metal&quot;  - Reciclagem por empresa especializada e aprovada"/>
    <s v="MATRIZ DE GERENCIAMENTO DE RESÍDUOS SÓLIDOS"/>
    <s v="N/A"/>
    <n v="3"/>
    <n v="3"/>
    <n v="0.1"/>
    <n v="0.9"/>
  </r>
  <r>
    <x v="16"/>
    <s v="TODAS"/>
    <s v="Paletização de produto acabado"/>
    <x v="47"/>
    <s v="Redução da disponibilidade de recursos naturais"/>
    <s v="N"/>
    <s v="D"/>
    <s v="A"/>
    <s v="A"/>
    <s v="R"/>
    <s v="N/A"/>
    <s v="P"/>
    <n v="10"/>
    <n v="3"/>
    <n v="0.1"/>
    <n v="3"/>
    <s v="Insignificante"/>
    <s v="Adquir somente pallets CHEP - Recicláveis"/>
    <s v="Controle através de NF de saída"/>
    <s v="N/A"/>
    <n v="10"/>
    <n v="3"/>
    <n v="0.1"/>
    <n v="3"/>
  </r>
  <r>
    <x v="16"/>
    <s v="TODAS"/>
    <s v="Paletização de produto acabado"/>
    <x v="48"/>
    <s v="Redução da disponibilidade de recursos naturais"/>
    <s v="N"/>
    <s v="D"/>
    <s v="A"/>
    <s v="A"/>
    <s v="R"/>
    <s v="N/A"/>
    <s v="P"/>
    <n v="10"/>
    <n v="3"/>
    <n v="0.1"/>
    <n v="3"/>
    <s v="Insignificante"/>
    <s v="Seguir POP 04.003 Gerenciamento de Resíduos não perigosos , depositar em coletor identificado como &quot;Plástico&quot;   &quot; Papelão&quot;- reciclagem realizada por empresa especializada e aprovada"/>
    <s v="MATRIZ DE GERENCIAMENTO DE RESÍDUOS SÓLIDOS"/>
    <s v="N/A"/>
    <n v="10"/>
    <n v="3"/>
    <n v="0.1"/>
    <n v="3"/>
  </r>
  <r>
    <x v="16"/>
    <s v="TODAS"/>
    <s v="Paletização de produto acabado"/>
    <x v="38"/>
    <s v="Esgotamento de aterros"/>
    <s v="N"/>
    <s v="D"/>
    <s v="A"/>
    <s v="A"/>
    <s v="R"/>
    <s v="I"/>
    <s v="L"/>
    <n v="10"/>
    <n v="3"/>
    <n v="0.1"/>
    <n v="3"/>
    <s v="Insignificante"/>
    <s v="Seguir POP 04.303 Gerenciamento de Resíduos não perigosos , depositar em coletor identificado como &quot;Plástico&quot;   &quot; Papelão&quot;- reciclagem realizada por empresa especializada e aprovada"/>
    <s v="MATRIZ DE GERENCIAMENTO DE RESÍDUOS SÓLIDOS"/>
    <s v="N/A"/>
    <n v="10"/>
    <n v="3"/>
    <n v="0.1"/>
    <n v="3"/>
  </r>
  <r>
    <x v="16"/>
    <s v="TODAS"/>
    <s v="Paletização de produto acabado"/>
    <x v="9"/>
    <s v="Esgotamento de aterros"/>
    <s v="N"/>
    <s v="D"/>
    <s v="A"/>
    <s v="A"/>
    <s v="R"/>
    <s v="I"/>
    <s v="L"/>
    <n v="6"/>
    <n v="3"/>
    <n v="0.1"/>
    <n v="1.8"/>
    <s v="Insignificante"/>
    <s v="Seguir POP 04.303 Gerenciamento de Resíduos não perigosos , depositar em coletor identificado como &quot;Madeira&quot;  - reciclagem realizada por empresa especializada e aprovada"/>
    <s v="MATRIZ DE GERENCIAMENTO DE RESÍDUOS SÓLIDOS"/>
    <s v="N/A"/>
    <n v="6"/>
    <n v="3"/>
    <n v="0.1"/>
    <n v="1.8"/>
  </r>
  <r>
    <x v="16"/>
    <s v="TODAS"/>
    <s v="Paletização de produto acabado"/>
    <x v="49"/>
    <s v="Esgotamento de aterros"/>
    <s v="N"/>
    <s v="D"/>
    <s v="A"/>
    <s v="A"/>
    <s v="R"/>
    <s v="I"/>
    <s v="L"/>
    <n v="6"/>
    <n v="3"/>
    <n v="0.1"/>
    <n v="1.8"/>
    <s v="Insignificante"/>
    <s v="Devolução ao fornecedor para reuso"/>
    <s v="Através de NF de saída"/>
    <s v="N/A"/>
    <n v="6"/>
    <n v="3"/>
    <n v="0.1"/>
    <n v="1.8"/>
  </r>
  <r>
    <x v="17"/>
    <s v="TODAS"/>
    <s v="Coleta de pilhas e baterias"/>
    <x v="12"/>
    <s v="Alteração da qualidade da água e do solo"/>
    <s v="N"/>
    <s v="D/I"/>
    <s v="A"/>
    <s v="B"/>
    <s v="O"/>
    <s v="N/A"/>
    <s v="P"/>
    <n v="2"/>
    <n v="3"/>
    <n v="1"/>
    <n v="6"/>
    <s v="Insignificante"/>
    <s v="Descarte em coletor identificado, direcionado para receptor licenciado "/>
    <s v="Encaminhado para Crivelaro e posteriormente para empresa especializada para reprocessamento, de acordo com POP04.006"/>
    <s v="N/A"/>
    <n v="2"/>
    <n v="3"/>
    <n v="0.2"/>
    <n v="1.2000000000000002"/>
  </r>
  <r>
    <x v="17"/>
    <s v="TODAS"/>
    <s v="Estacionamento de veículos de funcionários, terceiros e caminhões."/>
    <x v="3"/>
    <s v="Alteração da qualidade da água e do solo"/>
    <s v="E"/>
    <s v="D"/>
    <s v="A"/>
    <s v="A"/>
    <s v="R"/>
    <s v="N/A"/>
    <s v="P"/>
    <n v="2"/>
    <n v="40"/>
    <n v="0.1"/>
    <n v="8"/>
    <s v="Insignificante"/>
    <s v="Piso impermeável, verificação de vazamento durante a Ronda, inspeção de caminhões na entrada, Check list de Caminhões FRM 09.004"/>
    <s v="Uso do Check-List FRM09.004"/>
    <s v="Plano de atendimento a emergência"/>
    <n v="2"/>
    <n v="3"/>
    <n v="0.1"/>
    <n v="0.60000000000000009"/>
  </r>
  <r>
    <x v="17"/>
    <s v="TODAS"/>
    <s v="Orientação para utilização do Fumódromo"/>
    <x v="11"/>
    <s v="Esgotamento de aterros"/>
    <s v="N"/>
    <s v="D/I"/>
    <s v="A"/>
    <s v="B"/>
    <s v="O"/>
    <s v="N/A"/>
    <s v="P"/>
    <n v="6"/>
    <n v="3"/>
    <n v="0.1"/>
    <n v="1.8"/>
    <s v="Insignificante"/>
    <s v="Proibição de fumo dentro da empresa, somente 1 Fumódromo área externa, limpeza diária do local"/>
    <s v="N/A"/>
    <s v="N/A"/>
    <n v="6"/>
    <n v="3"/>
    <n v="0.1"/>
    <n v="1.8"/>
  </r>
  <r>
    <x v="17"/>
    <s v="TODAS"/>
    <s v="Recebimento de Produtos Químicos"/>
    <x v="27"/>
    <s v="Alteração da qualidade da água e do solo"/>
    <s v="N"/>
    <s v="D"/>
    <s v="A"/>
    <s v="A"/>
    <s v="R"/>
    <s v="N/A"/>
    <s v="P"/>
    <n v="6"/>
    <n v="3"/>
    <n v="0.1"/>
    <n v="1.8"/>
    <s v="Insignificante"/>
    <s v="Liberar a entrada somente de produtos contidos na Lista de produtos químicos aprovados  TAB 04.001"/>
    <s v="Seguir as diretizes do POP 04.304 Gerenciamento de Produtos químicos"/>
    <s v="N/A"/>
    <n v="6"/>
    <n v="3"/>
    <n v="0.1"/>
    <n v="1.8"/>
  </r>
  <r>
    <x v="17"/>
    <s v="TODAS"/>
    <s v="Ronda   - descarte de bastão e armazenamento de eletrônicos "/>
    <x v="19"/>
    <s v="Alteração da qualidade da água e do solo"/>
    <s v="A"/>
    <s v="D"/>
    <s v="A"/>
    <s v="A"/>
    <s v="R"/>
    <s v="N/A"/>
    <s v="P"/>
    <n v="1"/>
    <n v="7"/>
    <n v="0.1"/>
    <n v="0.70000000000000007"/>
    <s v="Insignificante"/>
    <s v="POP  04.306 Gerenciamento de Resíduos Perigosos"/>
    <s v="MATRIZ DE GERENCIAMENTO DE RESÍDUOS SÓLIDOS"/>
    <s v="N/A"/>
    <n v="1"/>
    <n v="3"/>
    <n v="0.1"/>
    <n v="0.30000000000000004"/>
  </r>
  <r>
    <x v="18"/>
    <s v="TODAS"/>
    <s v="Recepção de caminhões "/>
    <x v="41"/>
    <s v="Alteração da qualidade do ar"/>
    <s v="N"/>
    <s v="I"/>
    <s v="A"/>
    <s v="A"/>
    <s v="R"/>
    <s v="N/A"/>
    <s v="L"/>
    <n v="6"/>
    <n v="3"/>
    <n v="1"/>
    <n v="18"/>
    <s v="Insignificante"/>
    <s v="Seguir POP 04.109 Controle de emissões atmosféricas "/>
    <s v="FRM 04.318 Monitoramento de fumaça preta de veiculos "/>
    <s v="N/A"/>
    <n v="6"/>
    <n v="3"/>
    <n v="0.5"/>
    <n v="9"/>
  </r>
  <r>
    <x v="19"/>
    <s v="TODAS"/>
    <s v="Recepção de cadastro de visitantes "/>
    <x v="23"/>
    <s v="Redução da disponibilidade de recursos naturais"/>
    <s v="N"/>
    <s v="D"/>
    <s v="P"/>
    <s v="A"/>
    <s v="R"/>
    <s v="N/A"/>
    <s v="P"/>
    <n v="6"/>
    <n v="3"/>
    <n v="0.2"/>
    <n v="3.6"/>
    <s v="Insignificante"/>
    <s v="Usar papel Reciclável, e o verso de rascunhos"/>
    <s v="MATRIZ DE GERENCIAMENTO DE RESÍDUOS SÓLIDOS"/>
    <s v="N/A"/>
    <n v="6"/>
    <n v="3"/>
    <n v="0.2"/>
    <n v="3.6"/>
  </r>
  <r>
    <x v="19"/>
    <s v="TODAS"/>
    <s v="Recepção de cadastro de visitantes "/>
    <x v="28"/>
    <s v="Alteração da qualidade da água e do solo"/>
    <s v="N"/>
    <s v="D"/>
    <s v="A"/>
    <s v="A"/>
    <s v="R"/>
    <s v="N/A"/>
    <s v="L"/>
    <n v="6"/>
    <n v="3"/>
    <n v="0.1"/>
    <n v="1.8"/>
    <s v="Insignificante"/>
    <s v="Tratamento em rede pública de esgoto"/>
    <s v="Conta da SAAE"/>
    <s v="N/A"/>
    <n v="6"/>
    <n v="3"/>
    <n v="0.1"/>
    <n v="1.8"/>
  </r>
  <r>
    <x v="19"/>
    <s v="TODAS"/>
    <s v="Recepção de cadastro de visitantes "/>
    <x v="13"/>
    <s v="Esgotamento de aterros"/>
    <s v="N"/>
    <s v="D"/>
    <s v="A"/>
    <s v="A"/>
    <s v="R"/>
    <s v="I"/>
    <s v="P"/>
    <n v="6"/>
    <n v="3"/>
    <n v="0.1"/>
    <n v="1.8"/>
    <s v="Insignificante"/>
    <s v="POP  04.303 Gerenciamento de Resíduos  Não Perigosos"/>
    <s v="MATRIZ DE GERENCIAMENTO DE RESÍDUOS SÓLIDOS"/>
    <s v="N/A"/>
    <n v="6"/>
    <n v="3"/>
    <n v="0.1"/>
    <n v="1.8"/>
  </r>
  <r>
    <x v="20"/>
    <s v="TODAS"/>
    <s v="Consumo de alimentos - área de café"/>
    <x v="8"/>
    <s v="Alteração da qualidade da água e do solo"/>
    <s v="N"/>
    <s v="D"/>
    <s v="A"/>
    <s v="A"/>
    <s v="R"/>
    <s v="I"/>
    <s v="L"/>
    <n v="10"/>
    <n v="3"/>
    <n v="0.1"/>
    <n v="3"/>
    <s v="Insignificante"/>
    <s v="Seguir POP 04.303 - Gerenciamento de Resíduos Não Perigosos"/>
    <s v="MATRIZ DE GERENCIAMENTO DE RESÍDUOS SÓLIDOS"/>
    <s v="N/A"/>
    <n v="10"/>
    <n v="3"/>
    <n v="0.1"/>
    <n v="3"/>
  </r>
  <r>
    <x v="20"/>
    <s v="TODAS"/>
    <s v="Limpeza"/>
    <x v="33"/>
    <s v="Alteração da qualidade da água e do solo"/>
    <s v="N"/>
    <s v="D"/>
    <s v="A"/>
    <s v="A"/>
    <s v="R"/>
    <s v="N/A"/>
    <s v="R"/>
    <n v="6"/>
    <n v="3"/>
    <n v="0.1"/>
    <n v="1.8"/>
    <s v="Insignificante"/>
    <s v="Direcionamento das embalagens de produto químico  vazias para a Área de Inflamáveis / Resíduos"/>
    <s v="MATRIZ DE GERENCIAMENTO DE RESÍDUOS SÓLIDOS"/>
    <s v="N/A"/>
    <n v="6"/>
    <n v="3"/>
    <n v="0.1"/>
    <n v="1.8"/>
  </r>
  <r>
    <x v="20"/>
    <s v="TODAS"/>
    <s v="Preparo de café "/>
    <x v="31"/>
    <s v="Esgotamento de aterros"/>
    <s v="N"/>
    <s v="D"/>
    <s v="A"/>
    <s v="A"/>
    <s v="R"/>
    <s v="I"/>
    <s v="L"/>
    <n v="6"/>
    <n v="3"/>
    <n v="0.1"/>
    <n v="1.8"/>
    <s v="Insignificante"/>
    <s v="Seguir POP 04.303 Gerenciamento de Resíduos não perigosos - depositar em coletores identifcados como Resíduo Orgânico "/>
    <s v="MATRIZ DE GERENCIAMENTO DE RESÍDUOS SÓLIDOS"/>
    <s v="N/A"/>
    <n v="6"/>
    <n v="3"/>
    <n v="0.1"/>
    <n v="1.8"/>
  </r>
  <r>
    <x v="21"/>
    <s v="TODAS"/>
    <s v="Aquisição de café das cooperativas"/>
    <x v="41"/>
    <s v="Alteração da qualidade do ar"/>
    <s v="N"/>
    <s v="I"/>
    <s v="A"/>
    <s v="A"/>
    <s v="R"/>
    <s v="N/A"/>
    <s v="L"/>
    <n v="2"/>
    <n v="3"/>
    <n v="0.1"/>
    <n v="0.60000000000000009"/>
    <s v="Insignificante"/>
    <s v="Seguir POP 04.019 Controle de emissões atmosféricas "/>
    <s v="FRM 04.318 Monitoramento de fumaça preta de veiculos, verificação de forma amostral na portaria "/>
    <s v="Após segunda percepção de emissão de fumaçã preta, é impossibilitado o acesso do caminhão"/>
    <n v="2"/>
    <n v="3"/>
    <n v="0.1"/>
    <n v="0.60000000000000009"/>
  </r>
  <r>
    <x v="21"/>
    <s v="TODAS"/>
    <s v="Aquisição de café das cooperativas"/>
    <x v="40"/>
    <s v="Redução da disponibilidade de recursos naturais"/>
    <s v="N"/>
    <s v="I"/>
    <s v="A"/>
    <s v="A"/>
    <s v="R"/>
    <s v="N/A"/>
    <s v="R"/>
    <n v="10"/>
    <n v="3"/>
    <n v="0.5"/>
    <n v="15"/>
    <s v="Insignificante"/>
    <s v="Buscar cooperativas próximas às fábricas"/>
    <s v="Extensão do controle dos gases do efeito estufa para o transporte das cooperativas até a JDE, relatório de neutralização da área de preservação"/>
    <s v="N/A"/>
    <n v="10"/>
    <n v="3"/>
    <n v="0.1"/>
    <n v="3"/>
  </r>
  <r>
    <x v="21"/>
    <s v="TODAS"/>
    <s v="Aquisição de café das cooperativas"/>
    <x v="29"/>
    <s v="Alteração da qualidade do ar"/>
    <s v="N"/>
    <s v="I"/>
    <s v="A"/>
    <s v="A"/>
    <s v="R"/>
    <s v="I"/>
    <s v="R"/>
    <n v="10"/>
    <n v="3"/>
    <n v="1"/>
    <n v="30"/>
    <s v="Insignificante"/>
    <s v="Buscar cooperativas próximas às fábricas"/>
    <s v="Extensão do controle dos gases do efeito estufa para o transporte das cooperativas até a JDE, relatório de neutralização da área de preservação"/>
    <s v="N/A"/>
    <n v="10"/>
    <n v="3"/>
    <n v="0.5"/>
    <n v="15"/>
  </r>
  <r>
    <x v="21"/>
    <s v="TODAS"/>
    <s v="Aquisição de café das cooperativas beneficiadoras"/>
    <x v="29"/>
    <s v="Alteração da qualidade do ar"/>
    <s v="N"/>
    <s v="I"/>
    <s v="A"/>
    <s v="A"/>
    <s v="R"/>
    <s v="N/A"/>
    <s v="L"/>
    <n v="2"/>
    <n v="3"/>
    <n v="10"/>
    <n v="60"/>
    <s v="Insignificante"/>
    <s v="cooperativas homologadas/ certificado de cafés importados"/>
    <s v="Extensão do controle dos gases do efeito estufa para o transporte das cooperativas até a JDE, relatório de neutralização da área de preservação"/>
    <s v="N/A"/>
    <n v="2"/>
    <n v="3"/>
    <n v="0.5"/>
    <n v="3"/>
  </r>
  <r>
    <x v="21"/>
    <s v="TODAS"/>
    <s v="Logística Reversa das embalagens"/>
    <x v="50"/>
    <s v="Redução de envio para aterro"/>
    <s v="N"/>
    <s v="D"/>
    <s v="A"/>
    <s v="B"/>
    <s v="O"/>
    <s v="E"/>
    <s v="L"/>
    <n v="6"/>
    <n v="15"/>
    <n v="0.5"/>
    <n v="45"/>
    <s v="Insignificante"/>
    <s v="Rotulagem ambiental nas embalagens, programa logistica pos consumo, programa de recolhimento de cápsulas"/>
    <s v="Relatorios da logística reversa - ABIA / Acordo Setorial de embalagens Coalisão"/>
    <s v="Plano de atendimento a emergencia. "/>
    <n v="6"/>
    <n v="3"/>
    <n v="0.5"/>
    <n v="9"/>
  </r>
  <r>
    <x v="22"/>
    <s v="TODAS"/>
    <s v="Análise de cor e umidade do café torrado"/>
    <x v="4"/>
    <s v="Esgotamento de aterros"/>
    <s v="N"/>
    <s v="D"/>
    <s v="A"/>
    <s v="A"/>
    <s v="R"/>
    <s v="I"/>
    <s v="P"/>
    <n v="6"/>
    <n v="3"/>
    <n v="0.1"/>
    <n v="1.8"/>
    <s v="Insignificante"/>
    <s v="Armazenamento em coletor apropriado, descarte como orgânico - envio para compostagem"/>
    <s v="MATRIZ DE GERENCIAMENTO DE RESÍDUOS SÓLIDOS"/>
    <s v="N/A"/>
    <n v="6"/>
    <n v="3"/>
    <n v="0.1"/>
    <n v="1.8"/>
  </r>
  <r>
    <x v="22"/>
    <s v="TODAS"/>
    <s v="Desentupimento de ciclones"/>
    <x v="51"/>
    <s v="Esgotamento de aterros"/>
    <s v="A"/>
    <s v="D"/>
    <s v="A"/>
    <s v="A"/>
    <s v="R"/>
    <s v="I"/>
    <s v="L"/>
    <n v="3"/>
    <n v="7"/>
    <n v="0.5"/>
    <n v="10.5"/>
    <s v="Insignificante"/>
    <s v="Seguir IT 07.195 Desentupimento de ciclone "/>
    <s v="FRM 04.101 Verificação do entorno"/>
    <s v="N/A"/>
    <n v="3"/>
    <n v="3"/>
    <n v="0.5"/>
    <n v="4.5"/>
  </r>
  <r>
    <x v="22"/>
    <s v="TODAS"/>
    <s v="Funcionamento dos motores"/>
    <x v="1"/>
    <s v="Perturbação do conforto da comunidade"/>
    <s v="N"/>
    <s v="D"/>
    <s v="A"/>
    <s v="A"/>
    <s v="R"/>
    <s v="E"/>
    <s v="L"/>
    <n v="10"/>
    <n v="15"/>
    <n v="3"/>
    <n v="450"/>
    <s v="Significante"/>
    <s v="Isolamento acústico em áreas de transporte de café, paredes com placas de isopainel "/>
    <s v="Laudo de ruído perimetral"/>
    <s v="N/A"/>
    <n v="10"/>
    <n v="3"/>
    <n v="1"/>
    <n v="30"/>
  </r>
  <r>
    <x v="22"/>
    <s v="TODAS"/>
    <s v="Funcionamento dos motores"/>
    <x v="3"/>
    <s v="Alteração da qualidade da água e do solo"/>
    <s v="E"/>
    <s v="D"/>
    <s v="A"/>
    <s v="A"/>
    <s v="R"/>
    <s v="N/A"/>
    <s v="P"/>
    <n v="2"/>
    <n v="40"/>
    <n v="0.2"/>
    <n v="16"/>
    <s v="Insignificante"/>
    <s v=" Manutenções preventivas "/>
    <s v="Rota Ambiental"/>
    <s v="Plano de atendimento a emergência"/>
    <n v="2"/>
    <n v="3"/>
    <n v="0.1"/>
    <n v="0.60000000000000009"/>
  </r>
  <r>
    <x v="22"/>
    <s v="TODAS"/>
    <s v="Funcionamento dos chillers"/>
    <x v="17"/>
    <s v="Redução da disponibilidade de recursos naturais"/>
    <s v="N"/>
    <s v="D"/>
    <s v="A"/>
    <s v="A"/>
    <s v="R"/>
    <s v="I"/>
    <s v="P"/>
    <n v="6"/>
    <n v="3"/>
    <n v="1"/>
    <n v="18"/>
    <s v="Insignificante"/>
    <s v="Reabastecimento das perdas de forma automática"/>
    <s v="Consumo mensal de água/ tonelada produzida"/>
    <s v="Abrir Ordem de Serviço para manutenção"/>
    <n v="6"/>
    <n v="3"/>
    <n v="0.5"/>
    <n v="9"/>
  </r>
  <r>
    <x v="22"/>
    <s v="TODAS"/>
    <s v="Limpeza dos torradores "/>
    <x v="27"/>
    <s v="Alteração da qualidade da água e do solo"/>
    <s v="N"/>
    <s v="D"/>
    <s v="A"/>
    <s v="A"/>
    <s v="R"/>
    <s v="N/A"/>
    <s v="P"/>
    <n v="6"/>
    <n v="3"/>
    <n v="0.5"/>
    <n v="9"/>
    <s v="Insignificante"/>
    <s v="Seguir POP 04.304 Gerenciamento de Produtos Químicos - Uso de alcool 70 para limpeza, deve estar identificado/ rotulado"/>
    <s v="Rota Ambiental"/>
    <s v="N/A"/>
    <n v="6"/>
    <n v="3"/>
    <n v="0.5"/>
    <n v="9"/>
  </r>
  <r>
    <x v="22"/>
    <s v="TODAS"/>
    <s v="Limpeza dos torradores "/>
    <x v="12"/>
    <s v="Alteração da qualidade da água e do solo"/>
    <s v="N"/>
    <s v="D"/>
    <s v="A"/>
    <s v="A"/>
    <s v="R"/>
    <s v="N/A"/>
    <s v="P"/>
    <n v="6"/>
    <n v="3"/>
    <n v="0.5"/>
    <n v="9"/>
    <s v="Insignificante"/>
    <s v="Direcionar resíduo da limpeza para coletor identificado como Classe 1 "/>
    <s v="Rota Ambiental"/>
    <s v="N/A"/>
    <n v="6"/>
    <n v="3"/>
    <n v="0.1"/>
    <n v="1.8"/>
  </r>
  <r>
    <x v="22"/>
    <s v="TODAS"/>
    <s v="Resfriamento do café"/>
    <x v="17"/>
    <s v="Redução da disponibilidade de recursos naturais"/>
    <s v="N"/>
    <s v="D"/>
    <s v="A"/>
    <s v="A"/>
    <s v="R"/>
    <s v="I"/>
    <s v="R"/>
    <n v="10"/>
    <n v="3"/>
    <n v="1"/>
    <n v="30"/>
    <s v="Insignificante"/>
    <s v=" Verificação constante da ocorrência vazamentos  "/>
    <s v="Consumo mensal de água/ tonelada produzida"/>
    <s v="Abrir Ordem de Serviço para manutenção"/>
    <n v="10"/>
    <n v="3"/>
    <n v="0.1"/>
    <n v="3"/>
  </r>
  <r>
    <x v="22"/>
    <s v="TODAS"/>
    <s v="Torra do grão"/>
    <x v="21"/>
    <s v="Esgotamento de aterros"/>
    <s v="N"/>
    <s v="D"/>
    <s v="A"/>
    <s v="A"/>
    <s v="R"/>
    <s v="I"/>
    <s v="P"/>
    <n v="6"/>
    <n v="3"/>
    <n v="0.5"/>
    <n v="9"/>
    <s v="Insignificante"/>
    <s v="Queima torra descartado como orgânico e enviado para compostagem"/>
    <s v="MATRIZ DE GERENCIAMENTO DE RESÍDUOS SÓLIDOS"/>
    <s v="N/A"/>
    <n v="6"/>
    <n v="3"/>
    <n v="0.1"/>
    <n v="1.8"/>
  </r>
  <r>
    <x v="22"/>
    <s v="TODAS"/>
    <s v="Torra do grão"/>
    <x v="52"/>
    <s v="Esgotamento de aterros"/>
    <s v="A"/>
    <s v="D"/>
    <s v="A"/>
    <s v="A"/>
    <s v="R"/>
    <s v="I"/>
    <s v="P"/>
    <n v="6"/>
    <n v="7"/>
    <n v="0.2"/>
    <n v="8.4"/>
    <s v="Insignificante"/>
    <s v="Após análise do laboratório o produto pode ser reutilizado no processo ou descartado como resíduo Organico"/>
    <s v="MATRIZ DE GERENCIAMENTO DE RESÍDUOS SÓLIDOS"/>
    <s v="N/A"/>
    <n v="6"/>
    <n v="3"/>
    <n v="0.1"/>
    <n v="1.8"/>
  </r>
  <r>
    <x v="22"/>
    <s v="TODAS"/>
    <s v="Torra do grão"/>
    <x v="29"/>
    <s v="Alteração da qualidade do ar"/>
    <s v="N"/>
    <s v="D"/>
    <s v="A"/>
    <s v="A"/>
    <s v="R"/>
    <s v="I"/>
    <s v="R"/>
    <n v="10"/>
    <n v="3"/>
    <n v="1"/>
    <n v="30"/>
    <s v="Insignificante"/>
    <s v="Otimizar queima de combustivel"/>
    <s v="Controle de GEE "/>
    <s v="N/A"/>
    <n v="10"/>
    <n v="3"/>
    <n v="0.5"/>
    <n v="15"/>
  </r>
  <r>
    <x v="23"/>
    <s v="TODAS"/>
    <s v="Uso de equipamentos "/>
    <x v="1"/>
    <s v="Perturbação do conforto da comunidade"/>
    <s v="N"/>
    <s v="D"/>
    <s v="A"/>
    <s v="A"/>
    <s v="R"/>
    <s v="E"/>
    <s v="L"/>
    <n v="10"/>
    <n v="15"/>
    <n v="3"/>
    <n v="450"/>
    <s v="Significante"/>
    <s v="Isolamento acústico em áreas de transporte de café, paredes com placas de isopainel "/>
    <s v="Laudo de ruído perimetral"/>
    <s v="N/A"/>
    <n v="10"/>
    <n v="3"/>
    <n v="1"/>
    <n v="30"/>
  </r>
  <r>
    <x v="22"/>
    <s v="TODAS"/>
    <s v="Torra do grão"/>
    <x v="53"/>
    <s v="Incômodo à comunidade"/>
    <s v="N"/>
    <s v="D"/>
    <s v="A"/>
    <s v="A"/>
    <s v="R"/>
    <s v="E"/>
    <s v="L"/>
    <n v="10"/>
    <n v="15"/>
    <n v="6"/>
    <n v="900"/>
    <s v="Significante"/>
    <s v="Manutenção de temperatura padrão da torra "/>
    <s v="FRM 04.317 _x000a_Registro de Comunicação"/>
    <s v="N/A"/>
    <n v="10"/>
    <n v="3"/>
    <n v="1"/>
    <n v="30"/>
  </r>
  <r>
    <x v="22"/>
    <s v="TODAS"/>
    <s v="Torra do grão"/>
    <x v="6"/>
    <s v="Alteração da qualidade do ar"/>
    <s v="N"/>
    <s v="D"/>
    <s v="A"/>
    <s v="A"/>
    <s v="R"/>
    <s v="E"/>
    <s v="L"/>
    <n v="10"/>
    <n v="15"/>
    <n v="1"/>
    <n v="150"/>
    <s v="Significante"/>
    <s v="Uso sistemas de captação de pó (filtros manga) "/>
    <s v="FRM 04.100 – Controle de Sistema de Captação de Pó - Filtros Manga_x000a_Medição atmosférica anual"/>
    <s v="N/A"/>
    <n v="10"/>
    <n v="3"/>
    <n v="1"/>
    <n v="30"/>
  </r>
  <r>
    <x v="22"/>
    <s v="TODAS"/>
    <s v="Funcionamento da fornalha"/>
    <x v="54"/>
    <s v="Contribuição para alterações climáticas"/>
    <s v="N"/>
    <s v="D"/>
    <s v="A"/>
    <s v="A"/>
    <s v="R"/>
    <s v="N/A"/>
    <s v="P"/>
    <n v="10"/>
    <n v="3"/>
    <n v="0.5"/>
    <n v="15"/>
    <s v="Insignificante"/>
    <s v="Sistema de Resfriamento com Chiller  - consumo de água "/>
    <s v="Consumo mensal de água/ tonelada produzida"/>
    <s v="N/A"/>
    <n v="10"/>
    <n v="3"/>
    <n v="0.5"/>
    <n v="15"/>
  </r>
  <r>
    <x v="22"/>
    <s v="TODAS"/>
    <s v="Funcionamento da fornalha"/>
    <x v="6"/>
    <s v="Alteração da qualidade do ar"/>
    <s v="N"/>
    <s v="D"/>
    <s v="A"/>
    <s v="A"/>
    <s v="R"/>
    <s v="N/A"/>
    <s v="P"/>
    <n v="10"/>
    <n v="3"/>
    <n v="1"/>
    <n v="30"/>
    <s v="Insignificante"/>
    <s v="Armazenamento em coletor apropriado, descarte como orgânico - envio para compostagem"/>
    <s v="MATRIZ DE GERENCIAMENTO DE RESÍDUOS SÓLIDOS/ ROTA AMBIENTAL"/>
    <s v="N/A"/>
    <n v="10"/>
    <n v="3"/>
    <n v="0.1"/>
    <n v="3"/>
  </r>
  <r>
    <x v="22"/>
    <s v="TODAS"/>
    <s v="Torra do grão - escape  de película para atmosfera "/>
    <x v="6"/>
    <s v="Alteração da qualidade do ar"/>
    <s v="N"/>
    <s v="D"/>
    <s v="A"/>
    <s v="A"/>
    <s v="R"/>
    <s v="I"/>
    <s v="P"/>
    <n v="10"/>
    <n v="15"/>
    <n v="3"/>
    <n v="450"/>
    <s v="Significante"/>
    <s v="Uso sistemas de captação de pó (filtros manga) _x000a_Manter a temperatura de secagem do café abaixo de 120ºC"/>
    <s v="FRM 04.100 – Controle de Sistema de Captação de Pó - Filtros Manga_x000a_Medição atmosférica anual_x000a_FRM 04.101 Verificação do entorno"/>
    <s v="N/A"/>
    <n v="10"/>
    <n v="3"/>
    <n v="1"/>
    <n v="30"/>
  </r>
  <r>
    <x v="22"/>
    <s v="TODAS"/>
    <s v="Funcionamento da  fornalha, ciclones"/>
    <x v="0"/>
    <s v="Danos materiais e alteração da qualidade da água, do ar e do solo"/>
    <s v="E"/>
    <s v="D"/>
    <s v="A"/>
    <s v="A"/>
    <s v="R"/>
    <s v="N/A"/>
    <s v="L"/>
    <n v="6"/>
    <n v="40"/>
    <n v="0.1"/>
    <n v="24"/>
    <s v="Insignificante"/>
    <s v="Manter equipamentos em boas condições de uso.  "/>
    <s v="Rota Ambiental"/>
    <s v="Plano de atendimento a emergência"/>
    <n v="6"/>
    <n v="3"/>
    <n v="0.1"/>
    <n v="1.8"/>
  </r>
  <r>
    <x v="22"/>
    <s v="TODAS"/>
    <s v="Torra do grão - escape de café para atmosfera"/>
    <x v="6"/>
    <s v="Alteração da qualidade do ar"/>
    <s v="A"/>
    <s v="D"/>
    <s v="A"/>
    <s v="A"/>
    <s v="R"/>
    <s v="E"/>
    <s v="L"/>
    <n v="6"/>
    <n v="15"/>
    <n v="1"/>
    <n v="90"/>
    <s v="Significante"/>
    <s v="Verificação visual do enchimento do silo da balança, sensor de presença e travamento da carga quando atinigir 2,5 torras "/>
    <s v="Manutenção de equipamentos críticos _x000a_FRM 04.100 – Controle de Sistema de Captação de Pó - Filtros Manga_x000a_Medição atmosférica anual_x000a_FRM 04.101 Verificação do entorno"/>
    <s v="N/A "/>
    <n v="6"/>
    <n v="3"/>
    <n v="1"/>
    <n v="18"/>
  </r>
  <r>
    <x v="22"/>
    <s v="PIUMHI"/>
    <s v="Torra do Grão - Consumo de cavaco "/>
    <x v="55"/>
    <s v="Redução da disponibilidade de recursos naturais"/>
    <s v="N"/>
    <s v="D"/>
    <s v="A"/>
    <s v="A"/>
    <s v="R"/>
    <s v="N/A"/>
    <s v="L"/>
    <n v="10"/>
    <n v="7"/>
    <n v="6"/>
    <n v="420"/>
    <s v="Significante"/>
    <s v="Seguir POP  04.303 Gerenciamento de Resíduos  Não Perigosos, evitar perdas no processo. _x000a_Uso de cavaco de madeira reflorestada"/>
    <s v="Indicador de consumo de biomassa/ ton produzida "/>
    <s v="N/A"/>
    <n v="10"/>
    <n v="3"/>
    <n v="1"/>
    <n v="30"/>
  </r>
  <r>
    <x v="22"/>
    <s v="TODAS"/>
    <s v="Torra do grão - Retirada de caçambas de película"/>
    <x v="0"/>
    <s v="Danos materiais e alteração da qualidade da água, do ar e do solo"/>
    <s v="E"/>
    <s v="D"/>
    <s v="A"/>
    <s v="A"/>
    <s v="R"/>
    <s v="N/A"/>
    <s v="L"/>
    <n v="6"/>
    <n v="40"/>
    <n v="0.1"/>
    <n v="24"/>
    <s v="Insignificante"/>
    <s v="Seguir IT 07.209  - Inspeção dos equipamentos da área dos torradores  - piso térreo "/>
    <s v="Rota Ambiental"/>
    <s v="Plano de atendimento a emergência"/>
    <n v="6"/>
    <n v="3"/>
    <n v="0.1"/>
    <n v="1.8"/>
  </r>
  <r>
    <x v="22"/>
    <s v="TODAS"/>
    <s v="Torra do Grão -acendimento da fornalha com óleo diesel"/>
    <x v="40"/>
    <s v="Redução da disponibilidade de recursos naturais"/>
    <s v="N"/>
    <s v="D"/>
    <s v="A"/>
    <s v="A"/>
    <s v="R"/>
    <s v="N/A"/>
    <s v="P"/>
    <n v="6"/>
    <n v="3"/>
    <n v="0.2"/>
    <n v="3.6"/>
    <s v="Insignificante"/>
    <s v="Seguir POP 04.304 Gerenciamento de Produtos Químicos"/>
    <s v="Monitoramento do consumo de óleo "/>
    <s v="N/A"/>
    <n v="6"/>
    <n v="3"/>
    <n v="0.1"/>
    <n v="1.8"/>
  </r>
  <r>
    <x v="22"/>
    <s v="TODAS"/>
    <s v="Torra do Grão -acendimento da fornalha com óleo diesel"/>
    <x v="0"/>
    <s v="Danos materiais e alteração da qualidade da água, do ar e do solo"/>
    <s v="E"/>
    <s v="D"/>
    <s v="A"/>
    <s v="A"/>
    <s v="R"/>
    <s v="N/A"/>
    <s v="L"/>
    <n v="6"/>
    <n v="40"/>
    <n v="0.1"/>
    <n v="24"/>
    <s v="Insignificante"/>
    <s v="Seguir IT 07.248 - Orientativo operacional da fornalha_x000a_Utilizar somente a quantidade necessária de óleo diesel para acendimento da fornalha, não manter armazenado na área recipeitnes com óleo diesel"/>
    <s v="Rota Ambiental"/>
    <s v="Plano de atendimento a emergência"/>
    <n v="6"/>
    <n v="3"/>
    <n v="0.1"/>
    <n v="1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D1785-CBEF-448E-B9DD-BF6A496AE810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2:BF28" firstHeaderRow="1" firstDataRow="2" firstDataCol="1"/>
  <pivotFields count="24">
    <pivotField axis="axisRow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57">
        <item x="15"/>
        <item x="17"/>
        <item x="40"/>
        <item x="7"/>
        <item x="55"/>
        <item x="47"/>
        <item x="23"/>
        <item x="48"/>
        <item x="27"/>
        <item x="10"/>
        <item x="30"/>
        <item x="4"/>
        <item x="36"/>
        <item x="9"/>
        <item x="46"/>
        <item x="21"/>
        <item x="52"/>
        <item x="32"/>
        <item x="41"/>
        <item x="29"/>
        <item x="53"/>
        <item x="6"/>
        <item x="1"/>
        <item x="5"/>
        <item x="31"/>
        <item x="54"/>
        <item x="45"/>
        <item x="26"/>
        <item x="38"/>
        <item x="33"/>
        <item x="24"/>
        <item x="28"/>
        <item x="42"/>
        <item x="39"/>
        <item x="44"/>
        <item x="51"/>
        <item x="12"/>
        <item x="18"/>
        <item x="8"/>
        <item x="34"/>
        <item x="16"/>
        <item x="43"/>
        <item x="20"/>
        <item x="19"/>
        <item x="11"/>
        <item x="37"/>
        <item x="13"/>
        <item x="49"/>
        <item x="2"/>
        <item x="50"/>
        <item x="14"/>
        <item x="0"/>
        <item x="35"/>
        <item x="25"/>
        <item x="2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0"/>
  </rowFields>
  <rowItems count="25">
    <i>
      <x v="22"/>
    </i>
    <i>
      <x/>
    </i>
    <i>
      <x v="15"/>
    </i>
    <i>
      <x v="4"/>
    </i>
    <i>
      <x v="8"/>
    </i>
    <i>
      <x v="13"/>
    </i>
    <i>
      <x v="11"/>
    </i>
    <i>
      <x v="10"/>
    </i>
    <i>
      <x v="7"/>
    </i>
    <i>
      <x v="1"/>
    </i>
    <i>
      <x v="21"/>
    </i>
    <i>
      <x v="23"/>
    </i>
    <i>
      <x v="2"/>
    </i>
    <i>
      <x v="12"/>
    </i>
    <i>
      <x v="9"/>
    </i>
    <i>
      <x v="16"/>
    </i>
    <i>
      <x v="18"/>
    </i>
    <i>
      <x v="3"/>
    </i>
    <i>
      <x v="19"/>
    </i>
    <i>
      <x v="20"/>
    </i>
    <i>
      <x v="17"/>
    </i>
    <i>
      <x v="6"/>
    </i>
    <i>
      <x v="14"/>
    </i>
    <i>
      <x v="5"/>
    </i>
    <i t="grand">
      <x/>
    </i>
  </rowItems>
  <colFields count="1">
    <field x="3"/>
  </colFields>
  <col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colItems>
  <dataFields count="1">
    <dataField name="Soma de RANKING FINAL" fld="23" baseField="0" baseItem="0"/>
  </dataFields>
  <formats count="32"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3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2">
      <pivotArea dataOnly="0" labelOnly="1" fieldPosition="0">
        <references count="1">
          <reference field="3" count="6">
            <x v="50"/>
            <x v="51"/>
            <x v="52"/>
            <x v="53"/>
            <x v="54"/>
            <x v="55"/>
          </reference>
        </references>
      </pivotArea>
    </format>
    <format dxfId="41">
      <pivotArea dataOnly="0" labelOnly="1" grandCol="1" outline="0" fieldPosition="0"/>
    </format>
    <format dxfId="40">
      <pivotArea type="origin" dataOnly="0" labelOnly="1" outline="0" fieldPosition="0"/>
    </format>
    <format dxfId="39">
      <pivotArea field="3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5">
      <pivotArea dataOnly="0" labelOnly="1" fieldPosition="0">
        <references count="1">
          <reference field="3" count="6">
            <x v="50"/>
            <x v="51"/>
            <x v="52"/>
            <x v="53"/>
            <x v="54"/>
            <x v="55"/>
          </reference>
        </references>
      </pivotArea>
    </format>
    <format dxfId="34">
      <pivotArea dataOnly="0" labelOnly="1" grandCol="1" outline="0" fieldPosition="0"/>
    </format>
    <format dxfId="33">
      <pivotArea type="origin" dataOnly="0" labelOnly="1" outline="0" fieldPosition="0"/>
    </format>
    <format dxfId="32">
      <pivotArea field="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">
      <pivotArea dataOnly="0" labelOnly="1" fieldPosition="0">
        <references count="1">
          <reference field="3" count="6">
            <x v="50"/>
            <x v="51"/>
            <x v="52"/>
            <x v="53"/>
            <x v="54"/>
            <x v="55"/>
          </reference>
        </references>
      </pivotArea>
    </format>
    <format dxfId="27">
      <pivotArea dataOnly="0" labelOnly="1" grandCol="1" outline="0" fieldPosition="0"/>
    </format>
    <format dxfId="26">
      <pivotArea type="origin" dataOnly="0" labelOnly="1" outline="0" fieldPosition="0"/>
    </format>
    <format dxfId="25">
      <pivotArea field="3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">
      <pivotArea dataOnly="0" labelOnly="1" fieldPosition="0">
        <references count="1">
          <reference field="3" count="6">
            <x v="50"/>
            <x v="51"/>
            <x v="52"/>
            <x v="53"/>
            <x v="54"/>
            <x v="55"/>
          </reference>
        </references>
      </pivotArea>
    </format>
    <format dxfId="20">
      <pivotArea dataOnly="0" labelOnly="1" grandCol="1" outline="0" fieldPosition="0"/>
    </format>
  </formats>
  <chartFormats count="5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741E-2134-4562-B632-CA537B03EF9D}">
  <sheetPr>
    <pageSetUpPr fitToPage="1"/>
  </sheetPr>
  <dimension ref="A1:AC157"/>
  <sheetViews>
    <sheetView showGridLines="0" tabSelected="1" view="pageBreakPreview" topLeftCell="B1" zoomScale="10" zoomScaleNormal="25" zoomScaleSheetLayoutView="10" workbookViewId="0">
      <selection activeCell="C4" sqref="C4:C17"/>
    </sheetView>
  </sheetViews>
  <sheetFormatPr defaultColWidth="9.36328125" defaultRowHeight="28.5" x14ac:dyDescent="0.65"/>
  <cols>
    <col min="1" max="1" width="9.36328125" style="32" hidden="1" customWidth="1"/>
    <col min="2" max="2" width="66.6328125" style="40" bestFit="1" customWidth="1"/>
    <col min="3" max="3" width="65.54296875" style="42" bestFit="1" customWidth="1"/>
    <col min="4" max="4" width="62.81640625" style="39" bestFit="1" customWidth="1"/>
    <col min="5" max="5" width="128.26953125" style="42" bestFit="1" customWidth="1"/>
    <col min="6" max="6" width="66.6328125" style="43" bestFit="1" customWidth="1"/>
    <col min="7" max="7" width="83" style="40" bestFit="1" customWidth="1"/>
    <col min="8" max="11" width="32.08984375" style="40" bestFit="1" customWidth="1"/>
    <col min="12" max="12" width="43.36328125" style="40" bestFit="1" customWidth="1"/>
    <col min="13" max="17" width="32.08984375" style="40" bestFit="1" customWidth="1"/>
    <col min="18" max="18" width="50.26953125" style="40" customWidth="1"/>
    <col min="19" max="19" width="83.26953125" style="40" bestFit="1" customWidth="1"/>
    <col min="20" max="20" width="211.7265625" style="40" bestFit="1" customWidth="1"/>
    <col min="21" max="21" width="157.1796875" style="39" bestFit="1" customWidth="1"/>
    <col min="22" max="22" width="193.7265625" style="44" bestFit="1" customWidth="1"/>
    <col min="23" max="24" width="36.08984375" style="40" customWidth="1"/>
    <col min="25" max="25" width="50.26953125" style="40" customWidth="1"/>
    <col min="26" max="26" width="50.26953125" style="40" bestFit="1" customWidth="1"/>
    <col min="27" max="27" width="68.81640625" style="40" bestFit="1" customWidth="1"/>
    <col min="28" max="28" width="80.1796875" style="44" customWidth="1"/>
    <col min="29" max="29" width="10.453125" style="32" bestFit="1" customWidth="1"/>
    <col min="30" max="16384" width="9.36328125" style="32"/>
  </cols>
  <sheetData>
    <row r="1" spans="1:28" ht="78.75" customHeight="1" x14ac:dyDescent="0.3">
      <c r="A1" s="33"/>
      <c r="B1" s="45"/>
      <c r="C1" s="104" t="s">
        <v>0</v>
      </c>
      <c r="D1" s="104"/>
      <c r="E1" s="104"/>
      <c r="F1" s="104"/>
      <c r="G1" s="104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s="47" customFormat="1" ht="234.5" customHeight="1" x14ac:dyDescent="0.35">
      <c r="A2" s="46"/>
      <c r="B2" s="105" t="s">
        <v>336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108" t="s">
        <v>335</v>
      </c>
      <c r="S2" s="108"/>
      <c r="T2" s="111" t="s">
        <v>2</v>
      </c>
      <c r="U2" s="111"/>
      <c r="V2" s="111"/>
      <c r="W2" s="63"/>
      <c r="X2" s="63"/>
      <c r="Y2" s="63"/>
      <c r="Z2" s="109" t="s">
        <v>261</v>
      </c>
      <c r="AA2" s="110"/>
      <c r="AB2" s="98"/>
    </row>
    <row r="3" spans="1:28" s="49" customFormat="1" ht="401" customHeight="1" x14ac:dyDescent="1.1000000000000001">
      <c r="A3" s="48" t="s">
        <v>16</v>
      </c>
      <c r="B3" s="62" t="s">
        <v>17</v>
      </c>
      <c r="C3" s="61" t="s">
        <v>18</v>
      </c>
      <c r="D3" s="62" t="s">
        <v>19</v>
      </c>
      <c r="E3" s="62" t="s">
        <v>20</v>
      </c>
      <c r="F3" s="60" t="s">
        <v>21</v>
      </c>
      <c r="G3" s="62" t="s">
        <v>22</v>
      </c>
      <c r="H3" s="102" t="s">
        <v>4</v>
      </c>
      <c r="I3" s="103" t="s">
        <v>5</v>
      </c>
      <c r="J3" s="103" t="s">
        <v>6</v>
      </c>
      <c r="K3" s="103" t="s">
        <v>7</v>
      </c>
      <c r="L3" s="103" t="s">
        <v>8</v>
      </c>
      <c r="M3" s="103" t="s">
        <v>9</v>
      </c>
      <c r="N3" s="103" t="s">
        <v>10</v>
      </c>
      <c r="O3" s="101" t="s">
        <v>11</v>
      </c>
      <c r="P3" s="101" t="s">
        <v>12</v>
      </c>
      <c r="Q3" s="101" t="s">
        <v>13</v>
      </c>
      <c r="R3" s="64" t="s">
        <v>14</v>
      </c>
      <c r="S3" s="64" t="s">
        <v>1</v>
      </c>
      <c r="T3" s="65" t="s">
        <v>23</v>
      </c>
      <c r="U3" s="65" t="s">
        <v>24</v>
      </c>
      <c r="V3" s="65" t="s">
        <v>25</v>
      </c>
      <c r="W3" s="100" t="s">
        <v>337</v>
      </c>
      <c r="X3" s="100" t="s">
        <v>338</v>
      </c>
      <c r="Y3" s="100" t="s">
        <v>339</v>
      </c>
      <c r="Z3" s="66" t="s">
        <v>15</v>
      </c>
      <c r="AA3" s="97" t="s">
        <v>264</v>
      </c>
      <c r="AB3" s="99" t="s">
        <v>3</v>
      </c>
    </row>
    <row r="4" spans="1:28" s="52" customFormat="1" ht="382.5" x14ac:dyDescent="0.35">
      <c r="A4" s="50">
        <v>2</v>
      </c>
      <c r="B4" s="78" t="s">
        <v>26</v>
      </c>
      <c r="C4" s="67" t="s">
        <v>60</v>
      </c>
      <c r="D4" s="67" t="s">
        <v>28</v>
      </c>
      <c r="E4" s="67" t="s">
        <v>61</v>
      </c>
      <c r="F4" s="67" t="s">
        <v>42</v>
      </c>
      <c r="G4" s="67" t="s">
        <v>80</v>
      </c>
      <c r="H4" s="69" t="s">
        <v>30</v>
      </c>
      <c r="I4" s="69" t="s">
        <v>59</v>
      </c>
      <c r="J4" s="69" t="s">
        <v>32</v>
      </c>
      <c r="K4" s="69" t="s">
        <v>32</v>
      </c>
      <c r="L4" s="69" t="s">
        <v>33</v>
      </c>
      <c r="M4" s="69" t="s">
        <v>38</v>
      </c>
      <c r="N4" s="70" t="s">
        <v>43</v>
      </c>
      <c r="O4" s="71">
        <v>3</v>
      </c>
      <c r="P4" s="72">
        <v>40</v>
      </c>
      <c r="Q4" s="73">
        <v>0.5</v>
      </c>
      <c r="R4" s="74">
        <f>PRODUCT(O4:Q4)</f>
        <v>60</v>
      </c>
      <c r="S4" s="75" t="str">
        <f>IF(R4&gt;400,"Insustentável (risco extremo)", IF(R4&gt;200,"Significativo (risco muito alto)", IF(R4&gt;70,"Significativo (alto risco)", IF(R4&gt;21,"Significativo (risco médio)", "Insignificante"))))</f>
        <v>Significativo (risco médio)</v>
      </c>
      <c r="T4" s="67" t="s">
        <v>274</v>
      </c>
      <c r="U4" s="67" t="s">
        <v>275</v>
      </c>
      <c r="V4" s="67" t="s">
        <v>276</v>
      </c>
      <c r="W4" s="76">
        <v>3</v>
      </c>
      <c r="X4" s="72">
        <v>3</v>
      </c>
      <c r="Y4" s="73">
        <v>0.5</v>
      </c>
      <c r="Z4" s="77">
        <f>PRODUCT(W4:Y4)</f>
        <v>4.5</v>
      </c>
      <c r="AA4" s="75" t="str">
        <f>IF(Z4&gt;400,"Insustentável (risco extremo)", IF(Z4&gt;200,"Significativo (risco muito alto)", IF(Z4&gt;70,"Significativo (alto risco)", IF(Z4&gt;21,"Significativo (risco médio)", "Insignificante"))))</f>
        <v>Insignificante</v>
      </c>
      <c r="AB4" s="67" t="s">
        <v>62</v>
      </c>
    </row>
    <row r="5" spans="1:28" s="52" customFormat="1" ht="382.5" x14ac:dyDescent="0.35">
      <c r="A5" s="50">
        <v>3</v>
      </c>
      <c r="B5" s="78" t="s">
        <v>26</v>
      </c>
      <c r="C5" s="67" t="s">
        <v>60</v>
      </c>
      <c r="D5" s="67" t="s">
        <v>28</v>
      </c>
      <c r="E5" s="67" t="s">
        <v>64</v>
      </c>
      <c r="F5" s="67" t="s">
        <v>65</v>
      </c>
      <c r="G5" s="67" t="s">
        <v>69</v>
      </c>
      <c r="H5" s="69" t="s">
        <v>37</v>
      </c>
      <c r="I5" s="69" t="s">
        <v>31</v>
      </c>
      <c r="J5" s="69" t="s">
        <v>32</v>
      </c>
      <c r="K5" s="69" t="s">
        <v>32</v>
      </c>
      <c r="L5" s="69" t="s">
        <v>33</v>
      </c>
      <c r="M5" s="69" t="s">
        <v>34</v>
      </c>
      <c r="N5" s="70" t="s">
        <v>33</v>
      </c>
      <c r="O5" s="71">
        <v>2</v>
      </c>
      <c r="P5" s="72">
        <v>3</v>
      </c>
      <c r="Q5" s="73">
        <v>0.5</v>
      </c>
      <c r="R5" s="74">
        <f>PRODUCT(O5:Q5)</f>
        <v>3</v>
      </c>
      <c r="S5" s="75" t="str">
        <f>IF(R5&gt;400,"Insustentável (risco extremo)", IF(R5&gt;200,"Significativo (risco muito alto)", IF(R5&gt;70,"Significativo (alto risco)", IF(R5&gt;21,"Significativo (risco médio)", "Insignificante"))))</f>
        <v>Insignificante</v>
      </c>
      <c r="T5" s="67" t="s">
        <v>387</v>
      </c>
      <c r="U5" s="67" t="s">
        <v>272</v>
      </c>
      <c r="V5" s="67" t="s">
        <v>273</v>
      </c>
      <c r="W5" s="76">
        <v>2</v>
      </c>
      <c r="X5" s="72">
        <v>3</v>
      </c>
      <c r="Y5" s="73">
        <v>0.5</v>
      </c>
      <c r="Z5" s="77">
        <f>PRODUCT(W5:Y5)</f>
        <v>3</v>
      </c>
      <c r="AA5" s="75" t="str">
        <f>IF(Z5&gt;400,"Insustentável (risco extremo)", IF(Z5&gt;200,"Significativo (risco muito alto)", IF(Z5&gt;70,"Significativo (alto risco)", IF(Z5&gt;21,"Significativo (risco médio)", "Insignificante"))))</f>
        <v>Insignificante</v>
      </c>
      <c r="AB5" s="67" t="s">
        <v>46</v>
      </c>
    </row>
    <row r="6" spans="1:28" s="52" customFormat="1" ht="382.5" x14ac:dyDescent="0.35">
      <c r="A6" s="50">
        <v>4</v>
      </c>
      <c r="B6" s="78" t="s">
        <v>26</v>
      </c>
      <c r="C6" s="67" t="s">
        <v>60</v>
      </c>
      <c r="D6" s="67" t="s">
        <v>28</v>
      </c>
      <c r="E6" s="67" t="s">
        <v>67</v>
      </c>
      <c r="F6" s="67" t="s">
        <v>63</v>
      </c>
      <c r="G6" s="67" t="s">
        <v>80</v>
      </c>
      <c r="H6" s="69" t="s">
        <v>30</v>
      </c>
      <c r="I6" s="69" t="s">
        <v>31</v>
      </c>
      <c r="J6" s="69" t="s">
        <v>32</v>
      </c>
      <c r="K6" s="69" t="s">
        <v>32</v>
      </c>
      <c r="L6" s="69" t="s">
        <v>33</v>
      </c>
      <c r="M6" s="69" t="s">
        <v>34</v>
      </c>
      <c r="N6" s="70" t="s">
        <v>43</v>
      </c>
      <c r="O6" s="71">
        <v>2</v>
      </c>
      <c r="P6" s="72">
        <v>40</v>
      </c>
      <c r="Q6" s="73">
        <v>0.5</v>
      </c>
      <c r="R6" s="74">
        <f>PRODUCT(O6:Q6)</f>
        <v>40</v>
      </c>
      <c r="S6" s="75" t="str">
        <f>IF(R6&gt;400,"Insustentável (risco extremo)", IF(R6&gt;200,"Significativo (risco muito alto)", IF(R6&gt;70,"Significativo (alto risco)", IF(R6&gt;21,"Significativo (risco médio)", "Insignificante"))))</f>
        <v>Significativo (risco médio)</v>
      </c>
      <c r="T6" s="80" t="s">
        <v>286</v>
      </c>
      <c r="U6" s="67" t="s">
        <v>287</v>
      </c>
      <c r="V6" s="67" t="s">
        <v>288</v>
      </c>
      <c r="W6" s="76">
        <v>2</v>
      </c>
      <c r="X6" s="72">
        <v>3</v>
      </c>
      <c r="Y6" s="73">
        <v>0.5</v>
      </c>
      <c r="Z6" s="77">
        <f>PRODUCT(W6:Y6)</f>
        <v>3</v>
      </c>
      <c r="AA6" s="75" t="str">
        <f>IF(Z6&gt;400,"Insustentável (risco extremo)", IF(Z6&gt;200,"Significativo (risco muito alto)", IF(Z6&gt;70,"Significativo (alto risco)", IF(Z6&gt;21,"Significativo (risco médio)", "Insignificante"))))</f>
        <v>Insignificante</v>
      </c>
      <c r="AB6" s="67" t="s">
        <v>62</v>
      </c>
    </row>
    <row r="7" spans="1:28" s="52" customFormat="1" ht="382.5" x14ac:dyDescent="0.35">
      <c r="A7" s="50">
        <v>5</v>
      </c>
      <c r="B7" s="78" t="s">
        <v>26</v>
      </c>
      <c r="C7" s="67" t="s">
        <v>60</v>
      </c>
      <c r="D7" s="67" t="s">
        <v>28</v>
      </c>
      <c r="E7" s="67" t="s">
        <v>68</v>
      </c>
      <c r="F7" s="67" t="s">
        <v>65</v>
      </c>
      <c r="G7" s="80" t="s">
        <v>69</v>
      </c>
      <c r="H7" s="69" t="s">
        <v>37</v>
      </c>
      <c r="I7" s="69" t="s">
        <v>31</v>
      </c>
      <c r="J7" s="69" t="s">
        <v>32</v>
      </c>
      <c r="K7" s="69" t="s">
        <v>32</v>
      </c>
      <c r="L7" s="69" t="s">
        <v>33</v>
      </c>
      <c r="M7" s="69" t="s">
        <v>34</v>
      </c>
      <c r="N7" s="70" t="s">
        <v>33</v>
      </c>
      <c r="O7" s="71">
        <v>10</v>
      </c>
      <c r="P7" s="72">
        <v>3</v>
      </c>
      <c r="Q7" s="73">
        <v>0.5</v>
      </c>
      <c r="R7" s="82">
        <v>30</v>
      </c>
      <c r="S7" s="75" t="str">
        <f>IF(R7&gt;400,"Insustentável (risco extremo)", IF(R7&gt;200,"Significativo (risco muito alto)", IF(R7&gt;70,"Significativo (alto risco)", IF(R7&gt;21,"Significativo (risco médio)", "Insignificante"))))</f>
        <v>Significativo (risco médio)</v>
      </c>
      <c r="T7" s="67" t="s">
        <v>387</v>
      </c>
      <c r="U7" s="80" t="s">
        <v>272</v>
      </c>
      <c r="V7" s="80" t="s">
        <v>273</v>
      </c>
      <c r="W7" s="83">
        <v>10</v>
      </c>
      <c r="X7" s="71">
        <v>3</v>
      </c>
      <c r="Y7" s="84">
        <v>0.5</v>
      </c>
      <c r="Z7" s="77">
        <f>PRODUCT(W7:Y7)</f>
        <v>15</v>
      </c>
      <c r="AA7" s="75" t="str">
        <f>IF(Z7&gt;400,"Insustentável (risco extremo)", IF(Z7&gt;200,"Significativo (risco muito alto)", IF(Z7&gt;70,"Significativo (alto risco)", IF(Z7&gt;21,"Significativo (risco médio)", "Insignificante"))))</f>
        <v>Insignificante</v>
      </c>
      <c r="AB7" s="80" t="s">
        <v>70</v>
      </c>
    </row>
    <row r="8" spans="1:28" s="52" customFormat="1" ht="382.5" x14ac:dyDescent="0.35">
      <c r="A8" s="50">
        <v>7</v>
      </c>
      <c r="B8" s="85" t="s">
        <v>26</v>
      </c>
      <c r="C8" s="67" t="s">
        <v>60</v>
      </c>
      <c r="D8" s="67" t="s">
        <v>28</v>
      </c>
      <c r="E8" s="67" t="s">
        <v>68</v>
      </c>
      <c r="F8" s="67" t="s">
        <v>71</v>
      </c>
      <c r="G8" s="67" t="s">
        <v>69</v>
      </c>
      <c r="H8" s="69" t="s">
        <v>37</v>
      </c>
      <c r="I8" s="69" t="s">
        <v>31</v>
      </c>
      <c r="J8" s="69" t="s">
        <v>32</v>
      </c>
      <c r="K8" s="69" t="s">
        <v>32</v>
      </c>
      <c r="L8" s="69" t="s">
        <v>33</v>
      </c>
      <c r="M8" s="69" t="s">
        <v>34</v>
      </c>
      <c r="N8" s="70" t="s">
        <v>33</v>
      </c>
      <c r="O8" s="71">
        <v>10</v>
      </c>
      <c r="P8" s="72">
        <v>3</v>
      </c>
      <c r="Q8" s="73">
        <v>0.5</v>
      </c>
      <c r="R8" s="74">
        <f>PRODUCT(O8:Q8)</f>
        <v>15</v>
      </c>
      <c r="S8" s="75" t="str">
        <f>IF(R8&gt;400,"Insustentável (risco extremo)", IF(R8&gt;200,"Significativo (risco muito alto)", IF(R8&gt;70,"Significativo (alto risco)", IF(R8&gt;21,"Significativo (risco médio)", "Insignificante"))))</f>
        <v>Insignificante</v>
      </c>
      <c r="T8" s="67" t="s">
        <v>387</v>
      </c>
      <c r="U8" s="80" t="s">
        <v>278</v>
      </c>
      <c r="V8" s="67" t="s">
        <v>279</v>
      </c>
      <c r="W8" s="76">
        <v>10</v>
      </c>
      <c r="X8" s="72">
        <v>3</v>
      </c>
      <c r="Y8" s="73">
        <v>0.5</v>
      </c>
      <c r="Z8" s="77">
        <f>PRODUCT(W8:Y8)</f>
        <v>15</v>
      </c>
      <c r="AA8" s="75" t="str">
        <f>IF(Z8&gt;400,"Insustentável (risco extremo)", IF(Z8&gt;200,"Significativo (risco muito alto)", IF(Z8&gt;70,"Significativo (alto risco)", IF(Z8&gt;21,"Significativo (risco médio)", "Insignificante"))))</f>
        <v>Insignificante</v>
      </c>
      <c r="AB8" s="67" t="s">
        <v>70</v>
      </c>
    </row>
    <row r="9" spans="1:28" s="54" customFormat="1" ht="409.5" x14ac:dyDescent="1.1000000000000001">
      <c r="A9" s="50">
        <v>9</v>
      </c>
      <c r="B9" s="78" t="s">
        <v>26</v>
      </c>
      <c r="C9" s="67" t="s">
        <v>72</v>
      </c>
      <c r="D9" s="67" t="s">
        <v>28</v>
      </c>
      <c r="E9" s="67" t="s">
        <v>340</v>
      </c>
      <c r="F9" s="67" t="s">
        <v>29</v>
      </c>
      <c r="G9" s="67" t="s">
        <v>206</v>
      </c>
      <c r="H9" s="69" t="s">
        <v>30</v>
      </c>
      <c r="I9" s="69" t="s">
        <v>31</v>
      </c>
      <c r="J9" s="69" t="s">
        <v>32</v>
      </c>
      <c r="K9" s="69" t="s">
        <v>32</v>
      </c>
      <c r="L9" s="69" t="s">
        <v>33</v>
      </c>
      <c r="M9" s="69" t="s">
        <v>30</v>
      </c>
      <c r="N9" s="70" t="s">
        <v>35</v>
      </c>
      <c r="O9" s="71">
        <v>3</v>
      </c>
      <c r="P9" s="72">
        <v>40</v>
      </c>
      <c r="Q9" s="73">
        <v>1</v>
      </c>
      <c r="R9" s="74">
        <f>PRODUCT(O9:Q9)</f>
        <v>120</v>
      </c>
      <c r="S9" s="75" t="str">
        <f>IF(R9&gt;400,"Insustentável (risco extremo)", IF(R9&gt;200,"Significativo (risco muito alto)", IF(R9&gt;70,"Significativo (alto risco)", IF(R9&gt;21,"Significativo (risco médio)", "Insignificante"))))</f>
        <v>Significativo (alto risco)</v>
      </c>
      <c r="T9" s="67" t="s">
        <v>265</v>
      </c>
      <c r="U9" s="67" t="s">
        <v>266</v>
      </c>
      <c r="V9" s="67" t="s">
        <v>267</v>
      </c>
      <c r="W9" s="76">
        <v>3</v>
      </c>
      <c r="X9" s="72">
        <v>3</v>
      </c>
      <c r="Y9" s="73">
        <v>1</v>
      </c>
      <c r="Z9" s="77">
        <f>PRODUCT(W9:Y9)</f>
        <v>9</v>
      </c>
      <c r="AA9" s="75" t="str">
        <f>IF(Z9&gt;400,"Insustentável (risco extremo)", IF(Z9&gt;200,"Significativo (risco muito alto)", IF(Z9&gt;70,"Significativo (alto risco)", IF(Z9&gt;21,"Significativo (risco médio)", "Insignificante"))))</f>
        <v>Insignificante</v>
      </c>
      <c r="AB9" s="67" t="s">
        <v>62</v>
      </c>
    </row>
    <row r="10" spans="1:28" s="54" customFormat="1" ht="409.5" x14ac:dyDescent="1.1000000000000001">
      <c r="A10" s="50">
        <v>10</v>
      </c>
      <c r="B10" s="78" t="s">
        <v>26</v>
      </c>
      <c r="C10" s="67" t="s">
        <v>72</v>
      </c>
      <c r="D10" s="67" t="s">
        <v>28</v>
      </c>
      <c r="E10" s="67" t="s">
        <v>341</v>
      </c>
      <c r="F10" s="67" t="s">
        <v>137</v>
      </c>
      <c r="G10" s="67" t="s">
        <v>80</v>
      </c>
      <c r="H10" s="69" t="s">
        <v>37</v>
      </c>
      <c r="I10" s="69" t="s">
        <v>31</v>
      </c>
      <c r="J10" s="69" t="s">
        <v>32</v>
      </c>
      <c r="K10" s="69" t="s">
        <v>32</v>
      </c>
      <c r="L10" s="69" t="s">
        <v>33</v>
      </c>
      <c r="M10" s="69" t="s">
        <v>30</v>
      </c>
      <c r="N10" s="70" t="s">
        <v>35</v>
      </c>
      <c r="O10" s="71">
        <v>6</v>
      </c>
      <c r="P10" s="72">
        <v>7</v>
      </c>
      <c r="Q10" s="73">
        <v>0.5</v>
      </c>
      <c r="R10" s="74">
        <f>PRODUCT(O10:Q10)</f>
        <v>21</v>
      </c>
      <c r="S10" s="75" t="str">
        <f>IF(R10&gt;400,"Insustentável (risco extremo)", IF(R10&gt;200,"Significativo (risco muito alto)", IF(R10&gt;70,"Significativo (alto risco)", IF(R10&gt;21,"Significativo (risco médio)", "Insignificante"))))</f>
        <v>Insignificante</v>
      </c>
      <c r="T10" s="67" t="s">
        <v>290</v>
      </c>
      <c r="U10" s="67" t="s">
        <v>291</v>
      </c>
      <c r="V10" s="67" t="s">
        <v>292</v>
      </c>
      <c r="W10" s="76">
        <v>2</v>
      </c>
      <c r="X10" s="72">
        <v>3</v>
      </c>
      <c r="Y10" s="73">
        <v>0.2</v>
      </c>
      <c r="Z10" s="77">
        <f>PRODUCT(W10:Y10)</f>
        <v>1.2000000000000002</v>
      </c>
      <c r="AA10" s="75" t="str">
        <f>IF(Z10&gt;400,"Insustentável (risco extremo)", IF(Z10&gt;200,"Significativo (risco muito alto)", IF(Z10&gt;70,"Significativo (alto risco)", IF(Z10&gt;21,"Significativo (risco médio)", "Insignificante"))))</f>
        <v>Insignificante</v>
      </c>
      <c r="AB10" s="67" t="s">
        <v>62</v>
      </c>
    </row>
    <row r="11" spans="1:28" s="54" customFormat="1" ht="382.5" x14ac:dyDescent="1.1000000000000001">
      <c r="A11" s="50">
        <v>12</v>
      </c>
      <c r="B11" s="78" t="s">
        <v>26</v>
      </c>
      <c r="C11" s="67" t="s">
        <v>72</v>
      </c>
      <c r="D11" s="67" t="s">
        <v>28</v>
      </c>
      <c r="E11" s="67" t="s">
        <v>341</v>
      </c>
      <c r="F11" s="67" t="s">
        <v>63</v>
      </c>
      <c r="G11" s="67" t="s">
        <v>80</v>
      </c>
      <c r="H11" s="69" t="s">
        <v>30</v>
      </c>
      <c r="I11" s="69" t="s">
        <v>31</v>
      </c>
      <c r="J11" s="69" t="s">
        <v>32</v>
      </c>
      <c r="K11" s="69" t="s">
        <v>32</v>
      </c>
      <c r="L11" s="69" t="s">
        <v>33</v>
      </c>
      <c r="M11" s="69" t="s">
        <v>34</v>
      </c>
      <c r="N11" s="70" t="s">
        <v>43</v>
      </c>
      <c r="O11" s="71">
        <v>6</v>
      </c>
      <c r="P11" s="72">
        <v>15</v>
      </c>
      <c r="Q11" s="73">
        <v>0.5</v>
      </c>
      <c r="R11" s="74">
        <f>PRODUCT(O11:Q11)</f>
        <v>45</v>
      </c>
      <c r="S11" s="75" t="str">
        <f>IF(R11&gt;400,"Insustentável (risco extremo)", IF(R11&gt;200,"Significativo (risco muito alto)", IF(R11&gt;70,"Significativo (alto risco)", IF(R11&gt;21,"Significativo (risco médio)", "Insignificante"))))</f>
        <v>Significativo (risco médio)</v>
      </c>
      <c r="T11" s="67" t="s">
        <v>286</v>
      </c>
      <c r="U11" s="67" t="s">
        <v>287</v>
      </c>
      <c r="V11" s="67" t="s">
        <v>288</v>
      </c>
      <c r="W11" s="76">
        <v>3</v>
      </c>
      <c r="X11" s="72">
        <v>3</v>
      </c>
      <c r="Y11" s="73">
        <v>0.5</v>
      </c>
      <c r="Z11" s="77">
        <f>PRODUCT(W11:Y11)</f>
        <v>4.5</v>
      </c>
      <c r="AA11" s="75" t="str">
        <f>IF(Z11&gt;400,"Insustentável (risco extremo)", IF(Z11&gt;200,"Significativo (risco muito alto)", IF(Z11&gt;70,"Significativo (alto risco)", IF(Z11&gt;21,"Significativo (risco médio)", "Insignificante"))))</f>
        <v>Insignificante</v>
      </c>
      <c r="AB11" s="67" t="s">
        <v>62</v>
      </c>
    </row>
    <row r="12" spans="1:28" s="54" customFormat="1" ht="382.5" x14ac:dyDescent="1.1000000000000001">
      <c r="A12" s="50">
        <v>13</v>
      </c>
      <c r="B12" s="78" t="s">
        <v>73</v>
      </c>
      <c r="C12" s="67" t="s">
        <v>78</v>
      </c>
      <c r="D12" s="67" t="s">
        <v>28</v>
      </c>
      <c r="E12" s="67" t="s">
        <v>79</v>
      </c>
      <c r="F12" s="67" t="s">
        <v>56</v>
      </c>
      <c r="G12" s="67" t="s">
        <v>80</v>
      </c>
      <c r="H12" s="69" t="s">
        <v>37</v>
      </c>
      <c r="I12" s="69" t="s">
        <v>31</v>
      </c>
      <c r="J12" s="69" t="s">
        <v>32</v>
      </c>
      <c r="K12" s="69" t="s">
        <v>32</v>
      </c>
      <c r="L12" s="69" t="s">
        <v>33</v>
      </c>
      <c r="M12" s="69" t="s">
        <v>34</v>
      </c>
      <c r="N12" s="70" t="s">
        <v>35</v>
      </c>
      <c r="O12" s="71">
        <v>10</v>
      </c>
      <c r="P12" s="72">
        <v>3</v>
      </c>
      <c r="Q12" s="73">
        <v>0.2</v>
      </c>
      <c r="R12" s="82">
        <v>6</v>
      </c>
      <c r="S12" s="75" t="str">
        <f>IF(R12&gt;400,"Insustentável (risco extremo)", IF(R12&gt;200,"Significativo (risco muito alto)", IF(R12&gt;70,"Significativo (alto risco)", IF(R12&gt;21,"Significativo (risco médio)", "Insignificante"))))</f>
        <v>Insignificante</v>
      </c>
      <c r="T12" s="80" t="s">
        <v>271</v>
      </c>
      <c r="U12" s="80" t="s">
        <v>272</v>
      </c>
      <c r="V12" s="80" t="s">
        <v>273</v>
      </c>
      <c r="W12" s="83">
        <v>6</v>
      </c>
      <c r="X12" s="71">
        <v>3</v>
      </c>
      <c r="Y12" s="84">
        <v>0.1</v>
      </c>
      <c r="Z12" s="77">
        <f>PRODUCT(W12:Y12)</f>
        <v>1.8</v>
      </c>
      <c r="AA12" s="75" t="str">
        <f>IF(Z12&gt;400,"Insustentável (risco extremo)", IF(Z12&gt;200,"Significativo (risco muito alto)", IF(Z12&gt;70,"Significativo (alto risco)", IF(Z12&gt;21,"Significativo (risco médio)", "Insignificante"))))</f>
        <v>Insignificante</v>
      </c>
      <c r="AB12" s="67" t="s">
        <v>38</v>
      </c>
    </row>
    <row r="13" spans="1:28" s="54" customFormat="1" ht="382.5" x14ac:dyDescent="1.1000000000000001">
      <c r="A13" s="50">
        <v>14</v>
      </c>
      <c r="B13" s="78" t="s">
        <v>73</v>
      </c>
      <c r="C13" s="67" t="s">
        <v>74</v>
      </c>
      <c r="D13" s="67" t="s">
        <v>28</v>
      </c>
      <c r="E13" s="67" t="s">
        <v>342</v>
      </c>
      <c r="F13" s="67" t="s">
        <v>42</v>
      </c>
      <c r="G13" s="67" t="s">
        <v>80</v>
      </c>
      <c r="H13" s="69" t="s">
        <v>30</v>
      </c>
      <c r="I13" s="69" t="s">
        <v>34</v>
      </c>
      <c r="J13" s="69" t="s">
        <v>32</v>
      </c>
      <c r="K13" s="69" t="s">
        <v>32</v>
      </c>
      <c r="L13" s="69" t="s">
        <v>33</v>
      </c>
      <c r="M13" s="69" t="s">
        <v>38</v>
      </c>
      <c r="N13" s="70" t="s">
        <v>43</v>
      </c>
      <c r="O13" s="71">
        <v>2</v>
      </c>
      <c r="P13" s="72">
        <v>40</v>
      </c>
      <c r="Q13" s="73">
        <v>0.2</v>
      </c>
      <c r="R13" s="74">
        <f>PRODUCT(O13:Q13)</f>
        <v>16</v>
      </c>
      <c r="S13" s="75" t="str">
        <f>IF(R13&gt;400,"Insustentável (risco extremo)", IF(R13&gt;200,"Significativo (risco muito alto)", IF(R13&gt;70,"Significativo (alto risco)", IF(R13&gt;21,"Significativo (risco médio)", "Insignificante"))))</f>
        <v>Insignificante</v>
      </c>
      <c r="T13" s="67" t="s">
        <v>274</v>
      </c>
      <c r="U13" s="67" t="s">
        <v>275</v>
      </c>
      <c r="V13" s="67" t="s">
        <v>276</v>
      </c>
      <c r="W13" s="76">
        <v>2</v>
      </c>
      <c r="X13" s="72">
        <v>3</v>
      </c>
      <c r="Y13" s="73">
        <v>0.1</v>
      </c>
      <c r="Z13" s="77">
        <f>PRODUCT(W13:Y13)</f>
        <v>0.60000000000000009</v>
      </c>
      <c r="AA13" s="75" t="str">
        <f>IF(Z13&gt;400,"Insustentável (risco extremo)", IF(Z13&gt;200,"Significativo (risco muito alto)", IF(Z13&gt;70,"Significativo (alto risco)", IF(Z13&gt;21,"Significativo (risco médio)", "Insignificante"))))</f>
        <v>Insignificante</v>
      </c>
      <c r="AB13" s="67" t="s">
        <v>38</v>
      </c>
    </row>
    <row r="14" spans="1:28" s="54" customFormat="1" ht="382.5" x14ac:dyDescent="1.1000000000000001">
      <c r="A14" s="50">
        <v>15</v>
      </c>
      <c r="B14" s="78" t="s">
        <v>73</v>
      </c>
      <c r="C14" s="67" t="s">
        <v>74</v>
      </c>
      <c r="D14" s="67" t="s">
        <v>28</v>
      </c>
      <c r="E14" s="67" t="s">
        <v>76</v>
      </c>
      <c r="F14" s="67" t="s">
        <v>71</v>
      </c>
      <c r="G14" s="67" t="s">
        <v>69</v>
      </c>
      <c r="H14" s="69" t="s">
        <v>37</v>
      </c>
      <c r="I14" s="69" t="s">
        <v>59</v>
      </c>
      <c r="J14" s="69" t="s">
        <v>32</v>
      </c>
      <c r="K14" s="69" t="s">
        <v>32</v>
      </c>
      <c r="L14" s="69" t="s">
        <v>75</v>
      </c>
      <c r="M14" s="69" t="s">
        <v>34</v>
      </c>
      <c r="N14" s="70" t="s">
        <v>35</v>
      </c>
      <c r="O14" s="71">
        <v>6</v>
      </c>
      <c r="P14" s="72">
        <v>3</v>
      </c>
      <c r="Q14" s="73">
        <v>0.5</v>
      </c>
      <c r="R14" s="74">
        <f>PRODUCT(O14:Q14)</f>
        <v>9</v>
      </c>
      <c r="S14" s="75" t="str">
        <f>IF(R14&gt;400,"Insustentável (risco extremo)", IF(R14&gt;200,"Significativo (risco muito alto)", IF(R14&gt;70,"Significativo (alto risco)", IF(R14&gt;21,"Significativo (risco médio)", "Insignificante"))))</f>
        <v>Insignificante</v>
      </c>
      <c r="T14" s="67" t="s">
        <v>387</v>
      </c>
      <c r="U14" s="67" t="s">
        <v>278</v>
      </c>
      <c r="V14" s="80" t="s">
        <v>279</v>
      </c>
      <c r="W14" s="76">
        <v>6</v>
      </c>
      <c r="X14" s="72">
        <v>3</v>
      </c>
      <c r="Y14" s="73">
        <v>0.1</v>
      </c>
      <c r="Z14" s="77">
        <f>PRODUCT(W14:Y14)</f>
        <v>1.8</v>
      </c>
      <c r="AA14" s="75" t="str">
        <f>IF(Z14&gt;400,"Insustentável (risco extremo)", IF(Z14&gt;200,"Significativo (risco muito alto)", IF(Z14&gt;70,"Significativo (alto risco)", IF(Z14&gt;21,"Significativo (risco médio)", "Insignificante"))))</f>
        <v>Insignificante</v>
      </c>
      <c r="AB14" s="67" t="s">
        <v>46</v>
      </c>
    </row>
    <row r="15" spans="1:28" s="54" customFormat="1" ht="409.5" x14ac:dyDescent="1.1000000000000001">
      <c r="A15" s="50">
        <v>16</v>
      </c>
      <c r="B15" s="78" t="s">
        <v>73</v>
      </c>
      <c r="C15" s="67" t="s">
        <v>74</v>
      </c>
      <c r="D15" s="67" t="s">
        <v>28</v>
      </c>
      <c r="E15" s="67" t="s">
        <v>76</v>
      </c>
      <c r="F15" s="67" t="s">
        <v>137</v>
      </c>
      <c r="G15" s="67" t="s">
        <v>80</v>
      </c>
      <c r="H15" s="69" t="s">
        <v>37</v>
      </c>
      <c r="I15" s="69" t="s">
        <v>59</v>
      </c>
      <c r="J15" s="69" t="s">
        <v>32</v>
      </c>
      <c r="K15" s="69" t="s">
        <v>77</v>
      </c>
      <c r="L15" s="69" t="s">
        <v>33</v>
      </c>
      <c r="M15" s="69" t="s">
        <v>30</v>
      </c>
      <c r="N15" s="70" t="s">
        <v>35</v>
      </c>
      <c r="O15" s="71">
        <v>2</v>
      </c>
      <c r="P15" s="72">
        <v>15</v>
      </c>
      <c r="Q15" s="73">
        <v>0.2</v>
      </c>
      <c r="R15" s="74">
        <f>PRODUCT(O15:Q15)</f>
        <v>6</v>
      </c>
      <c r="S15" s="75" t="str">
        <f>IF(R15&gt;400,"Insustentável (risco extremo)", IF(R15&gt;200,"Significativo (risco muito alto)", IF(R15&gt;70,"Significativo (alto risco)", IF(R15&gt;21,"Significativo (risco médio)", "Insignificante"))))</f>
        <v>Insignificante</v>
      </c>
      <c r="T15" s="67" t="s">
        <v>290</v>
      </c>
      <c r="U15" s="67" t="s">
        <v>291</v>
      </c>
      <c r="V15" s="80" t="s">
        <v>292</v>
      </c>
      <c r="W15" s="76">
        <v>2</v>
      </c>
      <c r="X15" s="72">
        <v>3</v>
      </c>
      <c r="Y15" s="73">
        <v>0.2</v>
      </c>
      <c r="Z15" s="77">
        <f>PRODUCT(W15:Y15)</f>
        <v>1.2000000000000002</v>
      </c>
      <c r="AA15" s="75" t="str">
        <f>IF(Z15&gt;400,"Insustentável (risco extremo)", IF(Z15&gt;200,"Significativo (risco muito alto)", IF(Z15&gt;70,"Significativo (alto risco)", IF(Z15&gt;21,"Significativo (risco médio)", "Insignificante"))))</f>
        <v>Insignificante</v>
      </c>
      <c r="AB15" s="67" t="s">
        <v>46</v>
      </c>
    </row>
    <row r="16" spans="1:28" s="54" customFormat="1" ht="382.5" x14ac:dyDescent="1.1000000000000001">
      <c r="A16" s="50">
        <v>17</v>
      </c>
      <c r="B16" s="78" t="s">
        <v>73</v>
      </c>
      <c r="C16" s="67" t="s">
        <v>74</v>
      </c>
      <c r="D16" s="67" t="s">
        <v>28</v>
      </c>
      <c r="E16" s="67" t="s">
        <v>76</v>
      </c>
      <c r="F16" s="67" t="s">
        <v>65</v>
      </c>
      <c r="G16" s="67" t="s">
        <v>69</v>
      </c>
      <c r="H16" s="69" t="s">
        <v>37</v>
      </c>
      <c r="I16" s="69" t="s">
        <v>59</v>
      </c>
      <c r="J16" s="69" t="s">
        <v>32</v>
      </c>
      <c r="K16" s="69" t="s">
        <v>32</v>
      </c>
      <c r="L16" s="69" t="s">
        <v>33</v>
      </c>
      <c r="M16" s="69" t="s">
        <v>34</v>
      </c>
      <c r="N16" s="70" t="s">
        <v>33</v>
      </c>
      <c r="O16" s="71">
        <v>6</v>
      </c>
      <c r="P16" s="72">
        <v>3</v>
      </c>
      <c r="Q16" s="73">
        <v>0.5</v>
      </c>
      <c r="R16" s="74">
        <f>PRODUCT(O16:Q16)</f>
        <v>9</v>
      </c>
      <c r="S16" s="75" t="str">
        <f>IF(R16&gt;400,"Insustentável (risco extremo)", IF(R16&gt;200,"Significativo (risco muito alto)", IF(R16&gt;70,"Significativo (alto risco)", IF(R16&gt;21,"Significativo (risco médio)", "Insignificante"))))</f>
        <v>Insignificante</v>
      </c>
      <c r="T16" s="67" t="s">
        <v>387</v>
      </c>
      <c r="U16" s="67" t="s">
        <v>272</v>
      </c>
      <c r="V16" s="80" t="s">
        <v>273</v>
      </c>
      <c r="W16" s="76">
        <v>6</v>
      </c>
      <c r="X16" s="72">
        <v>3</v>
      </c>
      <c r="Y16" s="73">
        <v>0.2</v>
      </c>
      <c r="Z16" s="77">
        <f>PRODUCT(W16:Y16)</f>
        <v>3.6</v>
      </c>
      <c r="AA16" s="75" t="str">
        <f>IF(Z16&gt;400,"Insustentável (risco extremo)", IF(Z16&gt;200,"Significativo (risco muito alto)", IF(Z16&gt;70,"Significativo (alto risco)", IF(Z16&gt;21,"Significativo (risco médio)", "Insignificante"))))</f>
        <v>Insignificante</v>
      </c>
      <c r="AB16" s="67" t="s">
        <v>46</v>
      </c>
    </row>
    <row r="17" spans="1:29" s="54" customFormat="1" ht="382.5" x14ac:dyDescent="1.1000000000000001">
      <c r="A17" s="51">
        <v>20</v>
      </c>
      <c r="B17" s="78" t="s">
        <v>73</v>
      </c>
      <c r="C17" s="67" t="s">
        <v>74</v>
      </c>
      <c r="D17" s="67" t="s">
        <v>28</v>
      </c>
      <c r="E17" s="80" t="s">
        <v>342</v>
      </c>
      <c r="F17" s="69" t="s">
        <v>54</v>
      </c>
      <c r="G17" s="80" t="s">
        <v>90</v>
      </c>
      <c r="H17" s="69" t="s">
        <v>30</v>
      </c>
      <c r="I17" s="69" t="s">
        <v>31</v>
      </c>
      <c r="J17" s="69" t="s">
        <v>32</v>
      </c>
      <c r="K17" s="69" t="s">
        <v>32</v>
      </c>
      <c r="L17" s="69" t="s">
        <v>33</v>
      </c>
      <c r="M17" s="69" t="s">
        <v>38</v>
      </c>
      <c r="N17" s="70" t="s">
        <v>35</v>
      </c>
      <c r="O17" s="71">
        <v>10</v>
      </c>
      <c r="P17" s="72">
        <v>1</v>
      </c>
      <c r="Q17" s="73">
        <v>0.5</v>
      </c>
      <c r="R17" s="82">
        <v>6</v>
      </c>
      <c r="S17" s="75" t="str">
        <f>IF(R17&gt;400,"Insustentável (risco extremo)", IF(R17&gt;200,"Significativo (risco muito alto)", IF(R17&gt;70,"Significativo (alto risco)", IF(R17&gt;21,"Significativo (risco médio)", "Insignificante"))))</f>
        <v>Insignificante</v>
      </c>
      <c r="T17" s="80" t="s">
        <v>283</v>
      </c>
      <c r="U17" s="80" t="s">
        <v>284</v>
      </c>
      <c r="V17" s="80" t="s">
        <v>285</v>
      </c>
      <c r="W17" s="83">
        <v>6</v>
      </c>
      <c r="X17" s="71">
        <v>1</v>
      </c>
      <c r="Y17" s="84">
        <v>0.2</v>
      </c>
      <c r="Z17" s="93">
        <v>1.8</v>
      </c>
      <c r="AA17" s="75" t="str">
        <f>IF(Z17&gt;400,"Insustentável (risco extremo)", IF(Z17&gt;200,"Significativo (risco muito alto)", IF(Z17&gt;70,"Significativo (alto risco)", IF(Z17&gt;21,"Significativo (risco médio)", "Insignificante"))))</f>
        <v>Insignificante</v>
      </c>
      <c r="AB17" s="80" t="s">
        <v>38</v>
      </c>
    </row>
    <row r="18" spans="1:29" s="54" customFormat="1" ht="382.5" x14ac:dyDescent="1.1000000000000001">
      <c r="A18" s="50">
        <v>21</v>
      </c>
      <c r="B18" s="78" t="s">
        <v>26</v>
      </c>
      <c r="C18" s="80" t="s">
        <v>81</v>
      </c>
      <c r="D18" s="67" t="s">
        <v>28</v>
      </c>
      <c r="E18" s="79" t="s">
        <v>85</v>
      </c>
      <c r="F18" s="67" t="s">
        <v>42</v>
      </c>
      <c r="G18" s="80" t="s">
        <v>80</v>
      </c>
      <c r="H18" s="69" t="s">
        <v>30</v>
      </c>
      <c r="I18" s="69" t="s">
        <v>34</v>
      </c>
      <c r="J18" s="69" t="s">
        <v>32</v>
      </c>
      <c r="K18" s="69" t="s">
        <v>32</v>
      </c>
      <c r="L18" s="69" t="s">
        <v>33</v>
      </c>
      <c r="M18" s="69" t="s">
        <v>38</v>
      </c>
      <c r="N18" s="70" t="s">
        <v>43</v>
      </c>
      <c r="O18" s="71">
        <v>1</v>
      </c>
      <c r="P18" s="72">
        <v>15</v>
      </c>
      <c r="Q18" s="73">
        <v>0.1</v>
      </c>
      <c r="R18" s="74">
        <f>PRODUCT(O18:Q18)</f>
        <v>1.5</v>
      </c>
      <c r="S18" s="75" t="str">
        <f>IF(R18&gt;400,"Insustentável (risco extremo)", IF(R18&gt;200,"Significativo (risco muito alto)", IF(R18&gt;70,"Significativo (alto risco)", IF(R18&gt;21,"Significativo (risco médio)", "Insignificante"))))</f>
        <v>Insignificante</v>
      </c>
      <c r="T18" s="67" t="s">
        <v>274</v>
      </c>
      <c r="U18" s="67" t="s">
        <v>275</v>
      </c>
      <c r="V18" s="67" t="s">
        <v>276</v>
      </c>
      <c r="W18" s="76">
        <v>1</v>
      </c>
      <c r="X18" s="72">
        <v>7</v>
      </c>
      <c r="Y18" s="73">
        <v>0.1</v>
      </c>
      <c r="Z18" s="77">
        <f>PRODUCT(W18:Y18)</f>
        <v>0.70000000000000007</v>
      </c>
      <c r="AA18" s="75" t="str">
        <f>IF(Z18&gt;400,"Insustentável (risco extremo)", IF(Z18&gt;200,"Significativo (risco muito alto)", IF(Z18&gt;70,"Significativo (alto risco)", IF(Z18&gt;21,"Significativo (risco médio)", "Insignificante"))))</f>
        <v>Insignificante</v>
      </c>
      <c r="AB18" s="67" t="s">
        <v>38</v>
      </c>
      <c r="AC18" s="55"/>
    </row>
    <row r="19" spans="1:29" s="54" customFormat="1" ht="382.5" x14ac:dyDescent="1.1000000000000001">
      <c r="A19" s="50">
        <v>23</v>
      </c>
      <c r="B19" s="78" t="s">
        <v>26</v>
      </c>
      <c r="C19" s="67" t="s">
        <v>81</v>
      </c>
      <c r="D19" s="67" t="s">
        <v>28</v>
      </c>
      <c r="E19" s="79" t="s">
        <v>87</v>
      </c>
      <c r="F19" s="67" t="s">
        <v>88</v>
      </c>
      <c r="G19" s="67" t="s">
        <v>69</v>
      </c>
      <c r="H19" s="69" t="s">
        <v>37</v>
      </c>
      <c r="I19" s="69" t="s">
        <v>31</v>
      </c>
      <c r="J19" s="69" t="s">
        <v>32</v>
      </c>
      <c r="K19" s="69" t="s">
        <v>32</v>
      </c>
      <c r="L19" s="69" t="s">
        <v>33</v>
      </c>
      <c r="M19" s="69" t="s">
        <v>34</v>
      </c>
      <c r="N19" s="70" t="s">
        <v>33</v>
      </c>
      <c r="O19" s="71">
        <v>2</v>
      </c>
      <c r="P19" s="72">
        <v>3</v>
      </c>
      <c r="Q19" s="73">
        <v>0.5</v>
      </c>
      <c r="R19" s="74">
        <f>PRODUCT(O19:Q19)</f>
        <v>3</v>
      </c>
      <c r="S19" s="75" t="str">
        <f>IF(R19&gt;400,"Insustentável (risco extremo)", IF(R19&gt;200,"Significativo (risco muito alto)", IF(R19&gt;70,"Significativo (alto risco)", IF(R19&gt;21,"Significativo (risco médio)", "Insignificante"))))</f>
        <v>Insignificante</v>
      </c>
      <c r="T19" s="67" t="s">
        <v>289</v>
      </c>
      <c r="U19" s="67" t="s">
        <v>272</v>
      </c>
      <c r="V19" s="67" t="s">
        <v>273</v>
      </c>
      <c r="W19" s="76">
        <v>2</v>
      </c>
      <c r="X19" s="72">
        <v>3</v>
      </c>
      <c r="Y19" s="73">
        <v>0.1</v>
      </c>
      <c r="Z19" s="77">
        <f>PRODUCT(W19:Y19)</f>
        <v>0.60000000000000009</v>
      </c>
      <c r="AA19" s="75" t="str">
        <f>IF(Z19&gt;400,"Insustentável (risco extremo)", IF(Z19&gt;200,"Significativo (risco muito alto)", IF(Z19&gt;70,"Significativo (alto risco)", IF(Z19&gt;21,"Significativo (risco médio)", "Insignificante"))))</f>
        <v>Insignificante</v>
      </c>
      <c r="AB19" s="80" t="s">
        <v>46</v>
      </c>
      <c r="AC19" s="55"/>
    </row>
    <row r="20" spans="1:29" s="54" customFormat="1" ht="382.5" x14ac:dyDescent="1.1000000000000001">
      <c r="A20" s="50">
        <v>25</v>
      </c>
      <c r="B20" s="78" t="s">
        <v>26</v>
      </c>
      <c r="C20" s="67" t="s">
        <v>358</v>
      </c>
      <c r="D20" s="67" t="s">
        <v>28</v>
      </c>
      <c r="E20" s="79" t="s">
        <v>357</v>
      </c>
      <c r="F20" s="79" t="s">
        <v>99</v>
      </c>
      <c r="G20" s="67" t="s">
        <v>90</v>
      </c>
      <c r="H20" s="69" t="s">
        <v>37</v>
      </c>
      <c r="I20" s="69" t="s">
        <v>31</v>
      </c>
      <c r="J20" s="69" t="s">
        <v>32</v>
      </c>
      <c r="K20" s="69" t="s">
        <v>32</v>
      </c>
      <c r="L20" s="69" t="s">
        <v>33</v>
      </c>
      <c r="M20" s="69" t="s">
        <v>34</v>
      </c>
      <c r="N20" s="70" t="s">
        <v>33</v>
      </c>
      <c r="O20" s="71">
        <v>6</v>
      </c>
      <c r="P20" s="72">
        <v>1</v>
      </c>
      <c r="Q20" s="73">
        <v>0.5</v>
      </c>
      <c r="R20" s="74">
        <f>PRODUCT(O20:Q20)</f>
        <v>3</v>
      </c>
      <c r="S20" s="75" t="str">
        <f>IF(R20&gt;400,"Insustentável (risco extremo)", IF(R20&gt;200,"Significativo (risco muito alto)", IF(R20&gt;70,"Significativo (alto risco)", IF(R20&gt;21,"Significativo (risco médio)", "Insignificante"))))</f>
        <v>Insignificante</v>
      </c>
      <c r="T20" s="67" t="s">
        <v>302</v>
      </c>
      <c r="U20" s="67" t="s">
        <v>303</v>
      </c>
      <c r="V20" s="67" t="s">
        <v>304</v>
      </c>
      <c r="W20" s="76">
        <v>6</v>
      </c>
      <c r="X20" s="72">
        <v>1</v>
      </c>
      <c r="Y20" s="73">
        <v>0.2</v>
      </c>
      <c r="Z20" s="77">
        <f>PRODUCT(W20:Y20)</f>
        <v>1.2000000000000002</v>
      </c>
      <c r="AA20" s="75" t="str">
        <f>IF(Z20&gt;400,"Insustentável (risco extremo)", IF(Z20&gt;200,"Significativo (risco muito alto)", IF(Z20&gt;70,"Significativo (alto risco)", IF(Z20&gt;21,"Significativo (risco médio)", "Insignificante"))))</f>
        <v>Insignificante</v>
      </c>
      <c r="AB20" s="67" t="s">
        <v>331</v>
      </c>
      <c r="AC20" s="55"/>
    </row>
    <row r="21" spans="1:29" s="54" customFormat="1" ht="306" x14ac:dyDescent="1.1000000000000001">
      <c r="A21" s="50">
        <v>26</v>
      </c>
      <c r="B21" s="78" t="s">
        <v>26</v>
      </c>
      <c r="C21" s="67" t="s">
        <v>358</v>
      </c>
      <c r="D21" s="67" t="s">
        <v>28</v>
      </c>
      <c r="E21" s="79" t="s">
        <v>357</v>
      </c>
      <c r="F21" s="79" t="s">
        <v>355</v>
      </c>
      <c r="G21" s="67" t="s">
        <v>90</v>
      </c>
      <c r="H21" s="69" t="s">
        <v>37</v>
      </c>
      <c r="I21" s="69" t="s">
        <v>31</v>
      </c>
      <c r="J21" s="69" t="s">
        <v>32</v>
      </c>
      <c r="K21" s="69" t="s">
        <v>32</v>
      </c>
      <c r="L21" s="69" t="s">
        <v>33</v>
      </c>
      <c r="M21" s="69" t="s">
        <v>38</v>
      </c>
      <c r="N21" s="70" t="s">
        <v>35</v>
      </c>
      <c r="O21" s="71">
        <v>10</v>
      </c>
      <c r="P21" s="72">
        <v>1</v>
      </c>
      <c r="Q21" s="73">
        <v>0.5</v>
      </c>
      <c r="R21" s="74">
        <f>PRODUCT(O21:Q21)</f>
        <v>5</v>
      </c>
      <c r="S21" s="75" t="str">
        <f>IF(R21&gt;400,"Insustentável (risco extremo)", IF(R21&gt;200,"Significativo (risco muito alto)", IF(R21&gt;70,"Significativo (alto risco)", IF(R21&gt;21,"Significativo (risco médio)", "Insignificante"))))</f>
        <v>Insignificante</v>
      </c>
      <c r="T21" s="67" t="s">
        <v>305</v>
      </c>
      <c r="U21" s="67" t="s">
        <v>306</v>
      </c>
      <c r="V21" s="67" t="s">
        <v>307</v>
      </c>
      <c r="W21" s="76">
        <v>10</v>
      </c>
      <c r="X21" s="72">
        <v>1</v>
      </c>
      <c r="Y21" s="73">
        <v>0.2</v>
      </c>
      <c r="Z21" s="77">
        <f>PRODUCT(W21:Y21)</f>
        <v>2</v>
      </c>
      <c r="AA21" s="75" t="str">
        <f>IF(Z21&gt;400,"Insustentável (risco extremo)", IF(Z21&gt;200,"Significativo (risco muito alto)", IF(Z21&gt;70,"Significativo (alto risco)", IF(Z21&gt;21,"Significativo (risco médio)", "Insignificante"))))</f>
        <v>Insignificante</v>
      </c>
      <c r="AB21" s="67" t="s">
        <v>46</v>
      </c>
      <c r="AC21" s="55"/>
    </row>
    <row r="22" spans="1:29" s="54" customFormat="1" ht="382.5" x14ac:dyDescent="1.1000000000000001">
      <c r="A22" s="50">
        <v>27</v>
      </c>
      <c r="B22" s="81" t="s">
        <v>26</v>
      </c>
      <c r="C22" s="67" t="s">
        <v>358</v>
      </c>
      <c r="D22" s="67" t="s">
        <v>28</v>
      </c>
      <c r="E22" s="79" t="s">
        <v>357</v>
      </c>
      <c r="F22" s="79" t="s">
        <v>354</v>
      </c>
      <c r="G22" s="67" t="s">
        <v>69</v>
      </c>
      <c r="H22" s="69" t="s">
        <v>37</v>
      </c>
      <c r="I22" s="69" t="s">
        <v>31</v>
      </c>
      <c r="J22" s="69" t="s">
        <v>32</v>
      </c>
      <c r="K22" s="69" t="s">
        <v>32</v>
      </c>
      <c r="L22" s="69" t="s">
        <v>33</v>
      </c>
      <c r="M22" s="69" t="s">
        <v>34</v>
      </c>
      <c r="N22" s="70" t="s">
        <v>33</v>
      </c>
      <c r="O22" s="71">
        <v>6</v>
      </c>
      <c r="P22" s="72">
        <v>3</v>
      </c>
      <c r="Q22" s="73">
        <v>0.5</v>
      </c>
      <c r="R22" s="74">
        <f>PRODUCT(O22:Q22)</f>
        <v>9</v>
      </c>
      <c r="S22" s="75" t="str">
        <f>IF(R22&gt;400,"Insustentável (risco extremo)", IF(R22&gt;200,"Significativo (risco muito alto)", IF(R22&gt;70,"Significativo (alto risco)", IF(R22&gt;21,"Significativo (risco médio)", "Insignificante"))))</f>
        <v>Insignificante</v>
      </c>
      <c r="T22" s="67" t="s">
        <v>387</v>
      </c>
      <c r="U22" s="67" t="s">
        <v>278</v>
      </c>
      <c r="V22" s="67" t="s">
        <v>279</v>
      </c>
      <c r="W22" s="76">
        <v>6</v>
      </c>
      <c r="X22" s="72">
        <v>3</v>
      </c>
      <c r="Y22" s="73">
        <v>0.2</v>
      </c>
      <c r="Z22" s="77">
        <f>PRODUCT(W22:Y22)</f>
        <v>3.6</v>
      </c>
      <c r="AA22" s="75" t="str">
        <f>IF(Z22&gt;400,"Insustentável (risco extremo)", IF(Z22&gt;200,"Significativo (risco muito alto)", IF(Z22&gt;70,"Significativo (alto risco)", IF(Z22&gt;21,"Significativo (risco médio)", "Insignificante"))))</f>
        <v>Insignificante</v>
      </c>
      <c r="AB22" s="67" t="s">
        <v>46</v>
      </c>
      <c r="AC22" s="55"/>
    </row>
    <row r="23" spans="1:29" s="54" customFormat="1" ht="382.5" x14ac:dyDescent="1.1000000000000001">
      <c r="A23" s="50">
        <v>28</v>
      </c>
      <c r="B23" s="78" t="s">
        <v>26</v>
      </c>
      <c r="C23" s="67" t="s">
        <v>358</v>
      </c>
      <c r="D23" s="67" t="s">
        <v>28</v>
      </c>
      <c r="E23" s="79" t="s">
        <v>357</v>
      </c>
      <c r="F23" s="79" t="s">
        <v>107</v>
      </c>
      <c r="G23" s="67" t="s">
        <v>193</v>
      </c>
      <c r="H23" s="69" t="s">
        <v>37</v>
      </c>
      <c r="I23" s="69" t="s">
        <v>31</v>
      </c>
      <c r="J23" s="69" t="s">
        <v>32</v>
      </c>
      <c r="K23" s="69" t="s">
        <v>32</v>
      </c>
      <c r="L23" s="69" t="s">
        <v>33</v>
      </c>
      <c r="M23" s="69" t="s">
        <v>38</v>
      </c>
      <c r="N23" s="70" t="s">
        <v>43</v>
      </c>
      <c r="O23" s="71">
        <v>6</v>
      </c>
      <c r="P23" s="72">
        <v>3</v>
      </c>
      <c r="Q23" s="73">
        <v>0.5</v>
      </c>
      <c r="R23" s="74">
        <f>PRODUCT(O23:Q23)</f>
        <v>9</v>
      </c>
      <c r="S23" s="75" t="str">
        <f>IF(R23&gt;400,"Insustentável (risco extremo)", IF(R23&gt;200,"Significativo (risco muito alto)", IF(R23&gt;70,"Significativo (alto risco)", IF(R23&gt;21,"Significativo (risco médio)", "Insignificante"))))</f>
        <v>Insignificante</v>
      </c>
      <c r="T23" s="67" t="s">
        <v>293</v>
      </c>
      <c r="U23" s="67" t="s">
        <v>294</v>
      </c>
      <c r="V23" s="67" t="s">
        <v>295</v>
      </c>
      <c r="W23" s="76">
        <v>2</v>
      </c>
      <c r="X23" s="72">
        <v>3</v>
      </c>
      <c r="Y23" s="73">
        <v>0.2</v>
      </c>
      <c r="Z23" s="77">
        <f>PRODUCT(W23:Y23)</f>
        <v>1.2000000000000002</v>
      </c>
      <c r="AA23" s="75" t="str">
        <f>IF(Z23&gt;400,"Insustentável (risco extremo)", IF(Z23&gt;200,"Significativo (risco muito alto)", IF(Z23&gt;70,"Significativo (alto risco)", IF(Z23&gt;21,"Significativo (risco médio)", "Insignificante"))))</f>
        <v>Insignificante</v>
      </c>
      <c r="AB23" s="67" t="s">
        <v>38</v>
      </c>
    </row>
    <row r="24" spans="1:29" s="54" customFormat="1" ht="382.5" x14ac:dyDescent="1.1000000000000001">
      <c r="A24" s="50"/>
      <c r="B24" s="78" t="s">
        <v>26</v>
      </c>
      <c r="C24" s="67" t="s">
        <v>396</v>
      </c>
      <c r="D24" s="67" t="s">
        <v>28</v>
      </c>
      <c r="E24" s="67" t="s">
        <v>345</v>
      </c>
      <c r="F24" s="67" t="s">
        <v>36</v>
      </c>
      <c r="G24" s="67" t="s">
        <v>198</v>
      </c>
      <c r="H24" s="69" t="s">
        <v>37</v>
      </c>
      <c r="I24" s="69" t="s">
        <v>31</v>
      </c>
      <c r="J24" s="69" t="s">
        <v>32</v>
      </c>
      <c r="K24" s="69" t="s">
        <v>32</v>
      </c>
      <c r="L24" s="69" t="s">
        <v>33</v>
      </c>
      <c r="M24" s="69" t="s">
        <v>30</v>
      </c>
      <c r="N24" s="70" t="s">
        <v>35</v>
      </c>
      <c r="O24" s="71">
        <v>6</v>
      </c>
      <c r="P24" s="72">
        <v>15</v>
      </c>
      <c r="Q24" s="73">
        <v>3</v>
      </c>
      <c r="R24" s="74">
        <f>PRODUCT(O24:Q24)</f>
        <v>270</v>
      </c>
      <c r="S24" s="75" t="str">
        <f>IF(R24&gt;400,"Insustentável (risco extremo)", IF(R24&gt;200,"Significativo (risco muito alto)", IF(R24&gt;70,"Significativo (alto risco)", IF(R24&gt;21,"Significativo (risco médio)", "Insignificante"))))</f>
        <v>Significativo (risco muito alto)</v>
      </c>
      <c r="T24" s="67" t="s">
        <v>268</v>
      </c>
      <c r="U24" s="67" t="s">
        <v>269</v>
      </c>
      <c r="V24" s="67" t="s">
        <v>270</v>
      </c>
      <c r="W24" s="76">
        <v>6</v>
      </c>
      <c r="X24" s="72">
        <v>7</v>
      </c>
      <c r="Y24" s="73">
        <v>0.5</v>
      </c>
      <c r="Z24" s="77">
        <f>PRODUCT(W24:Y24)</f>
        <v>21</v>
      </c>
      <c r="AA24" s="75" t="str">
        <f>IF(Z24&gt;400,"Insustentável (risco extremo)", IF(Z24&gt;200,"Significativo (risco muito alto)", IF(Z24&gt;70,"Significativo (alto risco)", IF(Z24&gt;21,"Significativo (risco médio)", "Insignificante"))))</f>
        <v>Insignificante</v>
      </c>
      <c r="AB24" s="67" t="s">
        <v>39</v>
      </c>
    </row>
    <row r="25" spans="1:29" s="54" customFormat="1" ht="382.5" x14ac:dyDescent="1.1000000000000001">
      <c r="A25" s="50">
        <v>29</v>
      </c>
      <c r="B25" s="81" t="s">
        <v>26</v>
      </c>
      <c r="C25" s="67" t="s">
        <v>396</v>
      </c>
      <c r="D25" s="67" t="s">
        <v>28</v>
      </c>
      <c r="E25" s="79" t="s">
        <v>345</v>
      </c>
      <c r="F25" s="67" t="s">
        <v>56</v>
      </c>
      <c r="G25" s="67" t="s">
        <v>69</v>
      </c>
      <c r="H25" s="69" t="s">
        <v>37</v>
      </c>
      <c r="I25" s="69" t="s">
        <v>31</v>
      </c>
      <c r="J25" s="69" t="s">
        <v>32</v>
      </c>
      <c r="K25" s="69" t="s">
        <v>32</v>
      </c>
      <c r="L25" s="69" t="s">
        <v>33</v>
      </c>
      <c r="M25" s="69" t="s">
        <v>34</v>
      </c>
      <c r="N25" s="70" t="s">
        <v>33</v>
      </c>
      <c r="O25" s="71">
        <v>3</v>
      </c>
      <c r="P25" s="72">
        <v>3</v>
      </c>
      <c r="Q25" s="73">
        <v>0.5</v>
      </c>
      <c r="R25" s="74">
        <f>PRODUCT(O25:Q25)</f>
        <v>4.5</v>
      </c>
      <c r="S25" s="75" t="str">
        <f>IF(R25&gt;400,"Insustentável (risco extremo)", IF(R25&gt;200,"Significativo (risco muito alto)", IF(R25&gt;70,"Significativo (alto risco)", IF(R25&gt;21,"Significativo (risco médio)", "Insignificante"))))</f>
        <v>Insignificante</v>
      </c>
      <c r="T25" s="67" t="s">
        <v>271</v>
      </c>
      <c r="U25" s="67" t="s">
        <v>272</v>
      </c>
      <c r="V25" s="67" t="s">
        <v>273</v>
      </c>
      <c r="W25" s="76">
        <v>1</v>
      </c>
      <c r="X25" s="72">
        <v>3</v>
      </c>
      <c r="Y25" s="73">
        <v>0.1</v>
      </c>
      <c r="Z25" s="77">
        <f>PRODUCT(W25:Y25)</f>
        <v>0.30000000000000004</v>
      </c>
      <c r="AA25" s="75" t="str">
        <f>IF(Z25&gt;400,"Insustentável (risco extremo)", IF(Z25&gt;200,"Significativo (risco muito alto)", IF(Z25&gt;70,"Significativo (alto risco)", IF(Z25&gt;21,"Significativo (risco médio)", "Insignificante"))))</f>
        <v>Insignificante</v>
      </c>
      <c r="AB25" s="67" t="s">
        <v>41</v>
      </c>
    </row>
    <row r="26" spans="1:29" s="54" customFormat="1" ht="382.5" x14ac:dyDescent="1.1000000000000001">
      <c r="A26" s="50">
        <v>30</v>
      </c>
      <c r="B26" s="78" t="s">
        <v>26</v>
      </c>
      <c r="C26" s="67" t="s">
        <v>396</v>
      </c>
      <c r="D26" s="67" t="s">
        <v>28</v>
      </c>
      <c r="E26" s="79" t="s">
        <v>345</v>
      </c>
      <c r="F26" s="67" t="s">
        <v>42</v>
      </c>
      <c r="G26" s="67" t="s">
        <v>80</v>
      </c>
      <c r="H26" s="69" t="s">
        <v>30</v>
      </c>
      <c r="I26" s="69" t="s">
        <v>31</v>
      </c>
      <c r="J26" s="69" t="s">
        <v>32</v>
      </c>
      <c r="K26" s="69" t="s">
        <v>32</v>
      </c>
      <c r="L26" s="69" t="s">
        <v>33</v>
      </c>
      <c r="M26" s="69" t="s">
        <v>34</v>
      </c>
      <c r="N26" s="70" t="s">
        <v>43</v>
      </c>
      <c r="O26" s="71">
        <v>1</v>
      </c>
      <c r="P26" s="72">
        <v>15</v>
      </c>
      <c r="Q26" s="73">
        <v>1</v>
      </c>
      <c r="R26" s="74">
        <f>PRODUCT(O26:Q26)</f>
        <v>15</v>
      </c>
      <c r="S26" s="75" t="str">
        <f>IF(R26&gt;400,"Insustentável (risco extremo)", IF(R26&gt;200,"Significativo (risco muito alto)", IF(R26&gt;70,"Significativo (alto risco)", IF(R26&gt;21,"Significativo (risco médio)", "Insignificante"))))</f>
        <v>Insignificante</v>
      </c>
      <c r="T26" s="67" t="s">
        <v>274</v>
      </c>
      <c r="U26" s="67" t="s">
        <v>275</v>
      </c>
      <c r="V26" s="67" t="s">
        <v>276</v>
      </c>
      <c r="W26" s="76">
        <v>1</v>
      </c>
      <c r="X26" s="72">
        <v>3</v>
      </c>
      <c r="Y26" s="73">
        <v>1</v>
      </c>
      <c r="Z26" s="77">
        <f>PRODUCT(W26:Y26)</f>
        <v>3</v>
      </c>
      <c r="AA26" s="75" t="str">
        <f>IF(Z26&gt;400,"Insustentável (risco extremo)", IF(Z26&gt;200,"Significativo (risco muito alto)", IF(Z26&gt;70,"Significativo (alto risco)", IF(Z26&gt;21,"Significativo (risco médio)", "Insignificante"))))</f>
        <v>Insignificante</v>
      </c>
      <c r="AB26" s="67" t="s">
        <v>38</v>
      </c>
    </row>
    <row r="27" spans="1:29" s="54" customFormat="1" ht="382.5" x14ac:dyDescent="1.1000000000000001">
      <c r="A27" s="50">
        <v>31</v>
      </c>
      <c r="B27" s="78" t="s">
        <v>26</v>
      </c>
      <c r="C27" s="67" t="s">
        <v>396</v>
      </c>
      <c r="D27" s="67" t="s">
        <v>28</v>
      </c>
      <c r="E27" s="79" t="s">
        <v>44</v>
      </c>
      <c r="F27" s="67" t="s">
        <v>343</v>
      </c>
      <c r="G27" s="67" t="s">
        <v>69</v>
      </c>
      <c r="H27" s="69" t="s">
        <v>37</v>
      </c>
      <c r="I27" s="69" t="s">
        <v>31</v>
      </c>
      <c r="J27" s="69" t="s">
        <v>32</v>
      </c>
      <c r="K27" s="69" t="s">
        <v>32</v>
      </c>
      <c r="L27" s="69" t="s">
        <v>33</v>
      </c>
      <c r="M27" s="69" t="s">
        <v>34</v>
      </c>
      <c r="N27" s="70" t="s">
        <v>33</v>
      </c>
      <c r="O27" s="71">
        <v>6</v>
      </c>
      <c r="P27" s="72">
        <v>3</v>
      </c>
      <c r="Q27" s="73">
        <v>0.5</v>
      </c>
      <c r="R27" s="74">
        <f>PRODUCT(O27:Q27)</f>
        <v>9</v>
      </c>
      <c r="S27" s="75" t="str">
        <f>IF(R27&gt;400,"Insustentável (risco extremo)", IF(R27&gt;200,"Significativo (risco muito alto)", IF(R27&gt;70,"Significativo (alto risco)", IF(R27&gt;21,"Significativo (risco médio)", "Insignificante"))))</f>
        <v>Insignificante</v>
      </c>
      <c r="T27" s="67" t="s">
        <v>271</v>
      </c>
      <c r="U27" s="80" t="s">
        <v>272</v>
      </c>
      <c r="V27" s="80" t="s">
        <v>273</v>
      </c>
      <c r="W27" s="76">
        <v>6</v>
      </c>
      <c r="X27" s="72">
        <v>3</v>
      </c>
      <c r="Y27" s="73">
        <v>0.1</v>
      </c>
      <c r="Z27" s="77">
        <f>PRODUCT(W27:Y27)</f>
        <v>1.8</v>
      </c>
      <c r="AA27" s="75" t="str">
        <f>IF(Z27&gt;400,"Insustentável (risco extremo)", IF(Z27&gt;200,"Significativo (risco muito alto)", IF(Z27&gt;70,"Significativo (alto risco)", IF(Z27&gt;21,"Significativo (risco médio)", "Insignificante"))))</f>
        <v>Insignificante</v>
      </c>
      <c r="AB27" s="67" t="s">
        <v>46</v>
      </c>
    </row>
    <row r="28" spans="1:29" s="54" customFormat="1" ht="382.5" x14ac:dyDescent="1.1000000000000001">
      <c r="A28" s="50">
        <v>32</v>
      </c>
      <c r="B28" s="78" t="s">
        <v>26</v>
      </c>
      <c r="C28" s="67" t="s">
        <v>396</v>
      </c>
      <c r="D28" s="67" t="s">
        <v>28</v>
      </c>
      <c r="E28" s="79" t="s">
        <v>47</v>
      </c>
      <c r="F28" s="67" t="s">
        <v>56</v>
      </c>
      <c r="G28" s="67" t="s">
        <v>69</v>
      </c>
      <c r="H28" s="69" t="s">
        <v>37</v>
      </c>
      <c r="I28" s="69" t="s">
        <v>31</v>
      </c>
      <c r="J28" s="69" t="s">
        <v>32</v>
      </c>
      <c r="K28" s="69" t="s">
        <v>32</v>
      </c>
      <c r="L28" s="69" t="s">
        <v>33</v>
      </c>
      <c r="M28" s="69" t="s">
        <v>34</v>
      </c>
      <c r="N28" s="70" t="s">
        <v>33</v>
      </c>
      <c r="O28" s="71">
        <v>3</v>
      </c>
      <c r="P28" s="72">
        <v>3</v>
      </c>
      <c r="Q28" s="73">
        <v>0.5</v>
      </c>
      <c r="R28" s="74">
        <f>PRODUCT(O28:Q28)</f>
        <v>4.5</v>
      </c>
      <c r="S28" s="75" t="str">
        <f>IF(R28&gt;400,"Insustentável (risco extremo)", IF(R28&gt;200,"Significativo (risco muito alto)", IF(R28&gt;70,"Significativo (alto risco)", IF(R28&gt;21,"Significativo (risco médio)", "Insignificante"))))</f>
        <v>Insignificante</v>
      </c>
      <c r="T28" s="67" t="s">
        <v>271</v>
      </c>
      <c r="U28" s="67" t="s">
        <v>272</v>
      </c>
      <c r="V28" s="67" t="s">
        <v>273</v>
      </c>
      <c r="W28" s="76">
        <v>2</v>
      </c>
      <c r="X28" s="72">
        <v>3</v>
      </c>
      <c r="Y28" s="73">
        <v>0.5</v>
      </c>
      <c r="Z28" s="77">
        <f>PRODUCT(W28:Y28)</f>
        <v>3</v>
      </c>
      <c r="AA28" s="75" t="str">
        <f>IF(Z28&gt;400,"Insustentável (risco extremo)", IF(Z28&gt;200,"Significativo (risco muito alto)", IF(Z28&gt;70,"Significativo (alto risco)", IF(Z28&gt;21,"Significativo (risco médio)", "Insignificante"))))</f>
        <v>Insignificante</v>
      </c>
      <c r="AB28" s="67" t="s">
        <v>41</v>
      </c>
    </row>
    <row r="29" spans="1:29" s="54" customFormat="1" ht="382.5" x14ac:dyDescent="1.1000000000000001">
      <c r="A29" s="50">
        <v>34</v>
      </c>
      <c r="B29" s="78" t="s">
        <v>26</v>
      </c>
      <c r="C29" s="67" t="s">
        <v>396</v>
      </c>
      <c r="D29" s="67" t="s">
        <v>28</v>
      </c>
      <c r="E29" s="79" t="s">
        <v>47</v>
      </c>
      <c r="F29" s="67" t="s">
        <v>49</v>
      </c>
      <c r="G29" s="67" t="s">
        <v>200</v>
      </c>
      <c r="H29" s="69" t="s">
        <v>37</v>
      </c>
      <c r="I29" s="69" t="s">
        <v>31</v>
      </c>
      <c r="J29" s="69" t="s">
        <v>32</v>
      </c>
      <c r="K29" s="69" t="s">
        <v>32</v>
      </c>
      <c r="L29" s="69" t="s">
        <v>33</v>
      </c>
      <c r="M29" s="69" t="s">
        <v>30</v>
      </c>
      <c r="N29" s="70" t="s">
        <v>43</v>
      </c>
      <c r="O29" s="71">
        <v>2</v>
      </c>
      <c r="P29" s="72">
        <v>15</v>
      </c>
      <c r="Q29" s="73">
        <v>3</v>
      </c>
      <c r="R29" s="74">
        <f>PRODUCT(O29:Q29)</f>
        <v>90</v>
      </c>
      <c r="S29" s="75" t="str">
        <f>IF(R29&gt;400,"Insustentável (risco extremo)", IF(R29&gt;200,"Significativo (risco muito alto)", IF(R29&gt;70,"Significativo (alto risco)", IF(R29&gt;21,"Significativo (risco médio)", "Insignificante"))))</f>
        <v>Significativo (alto risco)</v>
      </c>
      <c r="T29" s="67" t="s">
        <v>280</v>
      </c>
      <c r="U29" s="67" t="s">
        <v>281</v>
      </c>
      <c r="V29" s="67" t="s">
        <v>282</v>
      </c>
      <c r="W29" s="76">
        <v>2</v>
      </c>
      <c r="X29" s="72">
        <v>3</v>
      </c>
      <c r="Y29" s="73">
        <v>1</v>
      </c>
      <c r="Z29" s="77">
        <f>PRODUCT(W29:Y29)</f>
        <v>6</v>
      </c>
      <c r="AA29" s="75" t="str">
        <f>IF(Z29&gt;400,"Insustentável (risco extremo)", IF(Z29&gt;200,"Significativo (risco muito alto)", IF(Z29&gt;70,"Significativo (alto risco)", IF(Z29&gt;21,"Significativo (risco médio)", "Insignificante"))))</f>
        <v>Insignificante</v>
      </c>
      <c r="AB29" s="67" t="s">
        <v>39</v>
      </c>
    </row>
    <row r="30" spans="1:29" s="54" customFormat="1" ht="382.5" x14ac:dyDescent="1.1000000000000001">
      <c r="A30" s="50">
        <v>35</v>
      </c>
      <c r="B30" s="78" t="s">
        <v>50</v>
      </c>
      <c r="C30" s="67" t="s">
        <v>396</v>
      </c>
      <c r="D30" s="67" t="s">
        <v>28</v>
      </c>
      <c r="E30" s="79" t="s">
        <v>344</v>
      </c>
      <c r="F30" s="67" t="s">
        <v>49</v>
      </c>
      <c r="G30" s="67" t="s">
        <v>200</v>
      </c>
      <c r="H30" s="69" t="s">
        <v>37</v>
      </c>
      <c r="I30" s="69" t="s">
        <v>31</v>
      </c>
      <c r="J30" s="69" t="s">
        <v>32</v>
      </c>
      <c r="K30" s="69" t="s">
        <v>32</v>
      </c>
      <c r="L30" s="69" t="s">
        <v>33</v>
      </c>
      <c r="M30" s="69" t="s">
        <v>30</v>
      </c>
      <c r="N30" s="70" t="s">
        <v>35</v>
      </c>
      <c r="O30" s="71">
        <v>1</v>
      </c>
      <c r="P30" s="72">
        <v>15</v>
      </c>
      <c r="Q30" s="73">
        <v>3</v>
      </c>
      <c r="R30" s="74">
        <f>PRODUCT(O30:Q30)</f>
        <v>45</v>
      </c>
      <c r="S30" s="75" t="str">
        <f>IF(R30&gt;400,"Insustentável (risco extremo)", IF(R30&gt;200,"Significativo (risco muito alto)", IF(R30&gt;70,"Significativo (alto risco)", IF(R30&gt;21,"Significativo (risco médio)", "Insignificante"))))</f>
        <v>Significativo (risco médio)</v>
      </c>
      <c r="T30" s="67" t="s">
        <v>280</v>
      </c>
      <c r="U30" s="67" t="s">
        <v>281</v>
      </c>
      <c r="V30" s="67" t="s">
        <v>282</v>
      </c>
      <c r="W30" s="76">
        <v>1</v>
      </c>
      <c r="X30" s="72">
        <v>3</v>
      </c>
      <c r="Y30" s="73">
        <v>0.5</v>
      </c>
      <c r="Z30" s="77">
        <f>PRODUCT(W30:Y30)</f>
        <v>1.5</v>
      </c>
      <c r="AA30" s="75" t="str">
        <f>IF(Z30&gt;400,"Insustentável (risco extremo)", IF(Z30&gt;200,"Significativo (risco muito alto)", IF(Z30&gt;70,"Significativo (alto risco)", IF(Z30&gt;21,"Significativo (risco médio)", "Insignificante"))))</f>
        <v>Insignificante</v>
      </c>
      <c r="AB30" s="67" t="s">
        <v>39</v>
      </c>
    </row>
    <row r="31" spans="1:29" s="54" customFormat="1" ht="382.5" x14ac:dyDescent="1.1000000000000001">
      <c r="A31" s="50">
        <v>38</v>
      </c>
      <c r="B31" s="78" t="s">
        <v>50</v>
      </c>
      <c r="C31" s="67" t="s">
        <v>396</v>
      </c>
      <c r="D31" s="67" t="s">
        <v>28</v>
      </c>
      <c r="E31" s="79" t="s">
        <v>51</v>
      </c>
      <c r="F31" s="67" t="s">
        <v>42</v>
      </c>
      <c r="G31" s="67" t="s">
        <v>80</v>
      </c>
      <c r="H31" s="69" t="s">
        <v>30</v>
      </c>
      <c r="I31" s="69" t="s">
        <v>34</v>
      </c>
      <c r="J31" s="69" t="s">
        <v>32</v>
      </c>
      <c r="K31" s="69" t="s">
        <v>32</v>
      </c>
      <c r="L31" s="69" t="s">
        <v>33</v>
      </c>
      <c r="M31" s="69" t="s">
        <v>38</v>
      </c>
      <c r="N31" s="70" t="s">
        <v>43</v>
      </c>
      <c r="O31" s="71">
        <v>2</v>
      </c>
      <c r="P31" s="72">
        <v>15</v>
      </c>
      <c r="Q31" s="73">
        <v>1</v>
      </c>
      <c r="R31" s="74">
        <f>PRODUCT(O31:Q31)</f>
        <v>30</v>
      </c>
      <c r="S31" s="75" t="str">
        <f>IF(R31&gt;400,"Insustentável (risco extremo)", IF(R31&gt;200,"Significativo (risco muito alto)", IF(R31&gt;70,"Significativo (alto risco)", IF(R31&gt;21,"Significativo (risco médio)", "Insignificante"))))</f>
        <v>Significativo (risco médio)</v>
      </c>
      <c r="T31" s="67" t="s">
        <v>274</v>
      </c>
      <c r="U31" s="67" t="s">
        <v>275</v>
      </c>
      <c r="V31" s="67" t="s">
        <v>276</v>
      </c>
      <c r="W31" s="76">
        <v>2</v>
      </c>
      <c r="X31" s="72">
        <v>3</v>
      </c>
      <c r="Y31" s="73">
        <v>0.5</v>
      </c>
      <c r="Z31" s="77">
        <f>PRODUCT(W31:Y31)</f>
        <v>3</v>
      </c>
      <c r="AA31" s="75" t="str">
        <f>IF(Z31&gt;400,"Insustentável (risco extremo)", IF(Z31&gt;200,"Significativo (risco muito alto)", IF(Z31&gt;70,"Significativo (alto risco)", IF(Z31&gt;21,"Significativo (risco médio)", "Insignificante"))))</f>
        <v>Insignificante</v>
      </c>
      <c r="AB31" s="67" t="s">
        <v>38</v>
      </c>
    </row>
    <row r="32" spans="1:29" s="54" customFormat="1" ht="382.5" x14ac:dyDescent="1.1000000000000001">
      <c r="A32" s="50">
        <v>39</v>
      </c>
      <c r="B32" s="78" t="s">
        <v>26</v>
      </c>
      <c r="C32" s="149" t="s">
        <v>396</v>
      </c>
      <c r="D32" s="67" t="s">
        <v>28</v>
      </c>
      <c r="E32" s="79" t="s">
        <v>52</v>
      </c>
      <c r="F32" s="67" t="s">
        <v>49</v>
      </c>
      <c r="G32" s="67" t="s">
        <v>200</v>
      </c>
      <c r="H32" s="69" t="s">
        <v>37</v>
      </c>
      <c r="I32" s="69" t="s">
        <v>31</v>
      </c>
      <c r="J32" s="69" t="s">
        <v>32</v>
      </c>
      <c r="K32" s="69" t="s">
        <v>32</v>
      </c>
      <c r="L32" s="69" t="s">
        <v>33</v>
      </c>
      <c r="M32" s="69" t="s">
        <v>30</v>
      </c>
      <c r="N32" s="70" t="s">
        <v>35</v>
      </c>
      <c r="O32" s="71">
        <v>1</v>
      </c>
      <c r="P32" s="72">
        <v>15</v>
      </c>
      <c r="Q32" s="73">
        <v>3</v>
      </c>
      <c r="R32" s="74">
        <f>PRODUCT(O32:Q32)</f>
        <v>45</v>
      </c>
      <c r="S32" s="75" t="str">
        <f>IF(R32&gt;400,"Insustentável (risco extremo)", IF(R32&gt;200,"Significativo (risco muito alto)", IF(R32&gt;70,"Significativo (alto risco)", IF(R32&gt;21,"Significativo (risco médio)", "Insignificante"))))</f>
        <v>Significativo (risco médio)</v>
      </c>
      <c r="T32" s="67" t="s">
        <v>280</v>
      </c>
      <c r="U32" s="67" t="s">
        <v>281</v>
      </c>
      <c r="V32" s="67" t="s">
        <v>282</v>
      </c>
      <c r="W32" s="76">
        <v>1</v>
      </c>
      <c r="X32" s="72">
        <v>3</v>
      </c>
      <c r="Y32" s="73">
        <v>0.5</v>
      </c>
      <c r="Z32" s="77">
        <f>PRODUCT(W32:Y32)</f>
        <v>1.5</v>
      </c>
      <c r="AA32" s="75" t="str">
        <f>IF(Z32&gt;400,"Insustentável (risco extremo)", IF(Z32&gt;200,"Significativo (risco muito alto)", IF(Z32&gt;70,"Significativo (alto risco)", IF(Z32&gt;21,"Significativo (risco médio)", "Insignificante"))))</f>
        <v>Insignificante</v>
      </c>
      <c r="AB32" s="67" t="s">
        <v>39</v>
      </c>
    </row>
    <row r="33" spans="1:28" s="54" customFormat="1" ht="382.5" x14ac:dyDescent="1.1000000000000001">
      <c r="A33" s="50">
        <v>43</v>
      </c>
      <c r="B33" s="78" t="s">
        <v>26</v>
      </c>
      <c r="C33" s="67" t="s">
        <v>396</v>
      </c>
      <c r="D33" s="67" t="s">
        <v>28</v>
      </c>
      <c r="E33" s="79" t="s">
        <v>53</v>
      </c>
      <c r="F33" s="67" t="s">
        <v>54</v>
      </c>
      <c r="G33" s="67" t="s">
        <v>90</v>
      </c>
      <c r="H33" s="69" t="s">
        <v>37</v>
      </c>
      <c r="I33" s="69" t="s">
        <v>31</v>
      </c>
      <c r="J33" s="69" t="s">
        <v>32</v>
      </c>
      <c r="K33" s="69" t="s">
        <v>32</v>
      </c>
      <c r="L33" s="69" t="s">
        <v>33</v>
      </c>
      <c r="M33" s="69" t="s">
        <v>34</v>
      </c>
      <c r="N33" s="70" t="s">
        <v>43</v>
      </c>
      <c r="O33" s="71">
        <v>6</v>
      </c>
      <c r="P33" s="72">
        <v>1</v>
      </c>
      <c r="Q33" s="73">
        <v>0.5</v>
      </c>
      <c r="R33" s="74">
        <f>PRODUCT(O33:Q33)</f>
        <v>3</v>
      </c>
      <c r="S33" s="75" t="str">
        <f>IF(R33&gt;400,"Insustentável (risco extremo)", IF(R33&gt;200,"Significativo (risco muito alto)", IF(R33&gt;70,"Significativo (alto risco)", IF(R33&gt;21,"Significativo (risco médio)", "Insignificante"))))</f>
        <v>Insignificante</v>
      </c>
      <c r="T33" s="67" t="s">
        <v>283</v>
      </c>
      <c r="U33" s="67" t="s">
        <v>284</v>
      </c>
      <c r="V33" s="67" t="s">
        <v>285</v>
      </c>
      <c r="W33" s="76">
        <v>6</v>
      </c>
      <c r="X33" s="72">
        <v>1</v>
      </c>
      <c r="Y33" s="73">
        <v>0.2</v>
      </c>
      <c r="Z33" s="77">
        <f>PRODUCT(W33:Y33)</f>
        <v>1.2000000000000002</v>
      </c>
      <c r="AA33" s="75" t="str">
        <f>IF(Z33&gt;400,"Insustentável (risco extremo)", IF(Z33&gt;200,"Significativo (risco muito alto)", IF(Z33&gt;70,"Significativo (alto risco)", IF(Z33&gt;21,"Significativo (risco médio)", "Insignificante"))))</f>
        <v>Insignificante</v>
      </c>
      <c r="AB33" s="149" t="s">
        <v>330</v>
      </c>
    </row>
    <row r="34" spans="1:28" s="54" customFormat="1" ht="382.5" x14ac:dyDescent="1.1000000000000001">
      <c r="A34" s="50">
        <v>44</v>
      </c>
      <c r="B34" s="78" t="s">
        <v>26</v>
      </c>
      <c r="C34" s="67" t="s">
        <v>396</v>
      </c>
      <c r="D34" s="67" t="s">
        <v>28</v>
      </c>
      <c r="E34" s="79" t="s">
        <v>55</v>
      </c>
      <c r="F34" s="67" t="s">
        <v>42</v>
      </c>
      <c r="G34" s="67" t="s">
        <v>80</v>
      </c>
      <c r="H34" s="69" t="s">
        <v>30</v>
      </c>
      <c r="I34" s="69" t="s">
        <v>31</v>
      </c>
      <c r="J34" s="69" t="s">
        <v>32</v>
      </c>
      <c r="K34" s="69" t="s">
        <v>32</v>
      </c>
      <c r="L34" s="69" t="s">
        <v>33</v>
      </c>
      <c r="M34" s="69" t="s">
        <v>38</v>
      </c>
      <c r="N34" s="70" t="s">
        <v>43</v>
      </c>
      <c r="O34" s="71">
        <v>1</v>
      </c>
      <c r="P34" s="72">
        <v>15</v>
      </c>
      <c r="Q34" s="73">
        <v>1</v>
      </c>
      <c r="R34" s="74">
        <f>PRODUCT(O34:Q34)</f>
        <v>15</v>
      </c>
      <c r="S34" s="75" t="str">
        <f>IF(R34&gt;400,"Insustentável (risco extremo)", IF(R34&gt;200,"Significativo (risco muito alto)", IF(R34&gt;70,"Significativo (alto risco)", IF(R34&gt;21,"Significativo (risco médio)", "Insignificante"))))</f>
        <v>Insignificante</v>
      </c>
      <c r="T34" s="67" t="s">
        <v>274</v>
      </c>
      <c r="U34" s="67" t="s">
        <v>275</v>
      </c>
      <c r="V34" s="67" t="s">
        <v>276</v>
      </c>
      <c r="W34" s="76">
        <v>1</v>
      </c>
      <c r="X34" s="72">
        <v>3</v>
      </c>
      <c r="Y34" s="73">
        <v>0.5</v>
      </c>
      <c r="Z34" s="77">
        <f>PRODUCT(W34:Y34)</f>
        <v>1.5</v>
      </c>
      <c r="AA34" s="75" t="str">
        <f>IF(Z34&gt;400,"Insustentável (risco extremo)", IF(Z34&gt;200,"Significativo (risco muito alto)", IF(Z34&gt;70,"Significativo (alto risco)", IF(Z34&gt;21,"Significativo (risco médio)", "Insignificante"))))</f>
        <v>Insignificante</v>
      </c>
      <c r="AB34" s="67" t="s">
        <v>38</v>
      </c>
    </row>
    <row r="35" spans="1:28" s="54" customFormat="1" ht="382.5" x14ac:dyDescent="1.1000000000000001">
      <c r="A35" s="50">
        <v>45</v>
      </c>
      <c r="B35" s="78" t="s">
        <v>26</v>
      </c>
      <c r="C35" s="67" t="s">
        <v>396</v>
      </c>
      <c r="D35" s="67" t="s">
        <v>28</v>
      </c>
      <c r="E35" s="79" t="s">
        <v>52</v>
      </c>
      <c r="F35" s="67" t="s">
        <v>56</v>
      </c>
      <c r="G35" s="67" t="s">
        <v>69</v>
      </c>
      <c r="H35" s="69" t="s">
        <v>37</v>
      </c>
      <c r="I35" s="69" t="s">
        <v>31</v>
      </c>
      <c r="J35" s="69" t="s">
        <v>32</v>
      </c>
      <c r="K35" s="69" t="s">
        <v>32</v>
      </c>
      <c r="L35" s="69" t="s">
        <v>33</v>
      </c>
      <c r="M35" s="69" t="s">
        <v>34</v>
      </c>
      <c r="N35" s="70" t="s">
        <v>43</v>
      </c>
      <c r="O35" s="71">
        <v>10</v>
      </c>
      <c r="P35" s="72">
        <v>3</v>
      </c>
      <c r="Q35" s="73">
        <v>0.5</v>
      </c>
      <c r="R35" s="74">
        <f>PRODUCT(O35:Q35)</f>
        <v>15</v>
      </c>
      <c r="S35" s="75" t="str">
        <f>IF(R35&gt;400,"Insustentável (risco extremo)", IF(R35&gt;200,"Significativo (risco muito alto)", IF(R35&gt;70,"Significativo (alto risco)", IF(R35&gt;21,"Significativo (risco médio)", "Insignificante"))))</f>
        <v>Insignificante</v>
      </c>
      <c r="T35" s="67" t="s">
        <v>271</v>
      </c>
      <c r="U35" s="67" t="s">
        <v>272</v>
      </c>
      <c r="V35" s="67" t="s">
        <v>273</v>
      </c>
      <c r="W35" s="76">
        <v>10</v>
      </c>
      <c r="X35" s="72">
        <v>3</v>
      </c>
      <c r="Y35" s="73">
        <v>0.1</v>
      </c>
      <c r="Z35" s="77">
        <f>PRODUCT(W35:Y35)</f>
        <v>3</v>
      </c>
      <c r="AA35" s="75" t="str">
        <f>IF(Z35&gt;400,"Insustentável (risco extremo)", IF(Z35&gt;200,"Significativo (risco muito alto)", IF(Z35&gt;70,"Significativo (alto risco)", IF(Z35&gt;21,"Significativo (risco médio)", "Insignificante"))))</f>
        <v>Insignificante</v>
      </c>
      <c r="AB35" s="67" t="s">
        <v>46</v>
      </c>
    </row>
    <row r="36" spans="1:28" s="54" customFormat="1" ht="382.5" x14ac:dyDescent="1.1000000000000001">
      <c r="A36" s="50">
        <v>46</v>
      </c>
      <c r="B36" s="78" t="s">
        <v>50</v>
      </c>
      <c r="C36" s="67" t="s">
        <v>396</v>
      </c>
      <c r="D36" s="67" t="s">
        <v>28</v>
      </c>
      <c r="E36" s="79" t="s">
        <v>57</v>
      </c>
      <c r="F36" s="67" t="s">
        <v>49</v>
      </c>
      <c r="G36" s="67" t="s">
        <v>200</v>
      </c>
      <c r="H36" s="69" t="s">
        <v>37</v>
      </c>
      <c r="I36" s="69" t="s">
        <v>31</v>
      </c>
      <c r="J36" s="69" t="s">
        <v>32</v>
      </c>
      <c r="K36" s="69" t="s">
        <v>32</v>
      </c>
      <c r="L36" s="69" t="s">
        <v>33</v>
      </c>
      <c r="M36" s="69" t="s">
        <v>30</v>
      </c>
      <c r="N36" s="70" t="s">
        <v>35</v>
      </c>
      <c r="O36" s="71">
        <v>6</v>
      </c>
      <c r="P36" s="72">
        <v>15</v>
      </c>
      <c r="Q36" s="73">
        <v>3</v>
      </c>
      <c r="R36" s="74">
        <f>PRODUCT(O36:Q36)</f>
        <v>270</v>
      </c>
      <c r="S36" s="75" t="str">
        <f>IF(R36&gt;400,"Insustentável (risco extremo)", IF(R36&gt;200,"Significativo (risco muito alto)", IF(R36&gt;70,"Significativo (alto risco)", IF(R36&gt;21,"Significativo (risco médio)", "Insignificante"))))</f>
        <v>Significativo (risco muito alto)</v>
      </c>
      <c r="T36" s="67" t="s">
        <v>280</v>
      </c>
      <c r="U36" s="67" t="s">
        <v>281</v>
      </c>
      <c r="V36" s="67" t="s">
        <v>282</v>
      </c>
      <c r="W36" s="76">
        <v>6</v>
      </c>
      <c r="X36" s="72">
        <v>3</v>
      </c>
      <c r="Y36" s="73">
        <v>3</v>
      </c>
      <c r="Z36" s="77">
        <f>PRODUCT(W36:Y36)</f>
        <v>54</v>
      </c>
      <c r="AA36" s="75" t="str">
        <f>IF(Z36&gt;400,"Insustentável (risco extremo)", IF(Z36&gt;200,"Significativo (risco muito alto)", IF(Z36&gt;70,"Significativo (alto risco)", IF(Z36&gt;21,"Significativo (risco médio)", "Insignificante"))))</f>
        <v>Significativo (risco médio)</v>
      </c>
      <c r="AB36" s="67" t="s">
        <v>39</v>
      </c>
    </row>
    <row r="37" spans="1:28" s="54" customFormat="1" ht="382.5" x14ac:dyDescent="1.1000000000000001">
      <c r="A37" s="50">
        <v>49</v>
      </c>
      <c r="B37" s="78" t="s">
        <v>26</v>
      </c>
      <c r="C37" s="67" t="s">
        <v>396</v>
      </c>
      <c r="D37" s="67" t="s">
        <v>28</v>
      </c>
      <c r="E37" s="79" t="s">
        <v>345</v>
      </c>
      <c r="F37" s="67" t="s">
        <v>42</v>
      </c>
      <c r="G37" s="67" t="s">
        <v>80</v>
      </c>
      <c r="H37" s="69" t="s">
        <v>30</v>
      </c>
      <c r="I37" s="69" t="s">
        <v>31</v>
      </c>
      <c r="J37" s="69" t="s">
        <v>32</v>
      </c>
      <c r="K37" s="69" t="s">
        <v>32</v>
      </c>
      <c r="L37" s="69" t="s">
        <v>33</v>
      </c>
      <c r="M37" s="69" t="s">
        <v>38</v>
      </c>
      <c r="N37" s="70" t="s">
        <v>43</v>
      </c>
      <c r="O37" s="71">
        <v>2</v>
      </c>
      <c r="P37" s="72">
        <v>3</v>
      </c>
      <c r="Q37" s="73">
        <v>0.5</v>
      </c>
      <c r="R37" s="74">
        <f>PRODUCT(O37:Q37)</f>
        <v>3</v>
      </c>
      <c r="S37" s="75" t="str">
        <f>IF(R37&gt;400,"Insustentável (risco extremo)", IF(R37&gt;200,"Significativo (risco muito alto)", IF(R37&gt;70,"Significativo (alto risco)", IF(R37&gt;21,"Significativo (risco médio)", "Insignificante"))))</f>
        <v>Insignificante</v>
      </c>
      <c r="T37" s="67" t="s">
        <v>274</v>
      </c>
      <c r="U37" s="67" t="s">
        <v>275</v>
      </c>
      <c r="V37" s="67" t="s">
        <v>276</v>
      </c>
      <c r="W37" s="76">
        <v>2</v>
      </c>
      <c r="X37" s="72">
        <v>3</v>
      </c>
      <c r="Y37" s="73">
        <v>0.2</v>
      </c>
      <c r="Z37" s="77">
        <f>PRODUCT(W37:Y37)</f>
        <v>1.2000000000000002</v>
      </c>
      <c r="AA37" s="75" t="str">
        <f>IF(Z37&gt;400,"Insustentável (risco extremo)", IF(Z37&gt;200,"Significativo (risco muito alto)", IF(Z37&gt;70,"Significativo (alto risco)", IF(Z37&gt;21,"Significativo (risco médio)", "Insignificante"))))</f>
        <v>Insignificante</v>
      </c>
      <c r="AB37" s="67" t="s">
        <v>41</v>
      </c>
    </row>
    <row r="38" spans="1:28" s="54" customFormat="1" ht="382.5" x14ac:dyDescent="1.1000000000000001">
      <c r="A38" s="57">
        <v>51</v>
      </c>
      <c r="B38" s="81" t="s">
        <v>26</v>
      </c>
      <c r="C38" s="87" t="s">
        <v>92</v>
      </c>
      <c r="D38" s="67" t="s">
        <v>28</v>
      </c>
      <c r="E38" s="79" t="s">
        <v>346</v>
      </c>
      <c r="F38" s="67" t="s">
        <v>65</v>
      </c>
      <c r="G38" s="67" t="s">
        <v>69</v>
      </c>
      <c r="H38" s="69" t="s">
        <v>37</v>
      </c>
      <c r="I38" s="69" t="s">
        <v>31</v>
      </c>
      <c r="J38" s="69" t="s">
        <v>32</v>
      </c>
      <c r="K38" s="69" t="s">
        <v>32</v>
      </c>
      <c r="L38" s="69" t="s">
        <v>33</v>
      </c>
      <c r="M38" s="69" t="s">
        <v>34</v>
      </c>
      <c r="N38" s="70" t="s">
        <v>33</v>
      </c>
      <c r="O38" s="71">
        <v>6</v>
      </c>
      <c r="P38" s="72">
        <v>3</v>
      </c>
      <c r="Q38" s="73">
        <v>0.5</v>
      </c>
      <c r="R38" s="74">
        <f>PRODUCT(O38:Q38)</f>
        <v>9</v>
      </c>
      <c r="S38" s="75" t="str">
        <f>IF(R38&gt;400,"Insustentável (risco extremo)", IF(R38&gt;200,"Significativo (risco muito alto)", IF(R38&gt;70,"Significativo (alto risco)", IF(R38&gt;21,"Significativo (risco médio)", "Insignificante"))))</f>
        <v>Insignificante</v>
      </c>
      <c r="T38" s="67" t="s">
        <v>387</v>
      </c>
      <c r="U38" s="67" t="s">
        <v>272</v>
      </c>
      <c r="V38" s="88" t="s">
        <v>273</v>
      </c>
      <c r="W38" s="76">
        <v>6</v>
      </c>
      <c r="X38" s="72">
        <v>3</v>
      </c>
      <c r="Y38" s="73">
        <v>0.1</v>
      </c>
      <c r="Z38" s="77">
        <f>PRODUCT(W38:Y38)</f>
        <v>1.8</v>
      </c>
      <c r="AA38" s="75" t="str">
        <f>IF(Z38&gt;400,"Insustentável (risco extremo)", IF(Z38&gt;200,"Significativo (risco muito alto)", IF(Z38&gt;70,"Significativo (alto risco)", IF(Z38&gt;21,"Significativo (risco médio)", "Insignificante"))))</f>
        <v>Insignificante</v>
      </c>
      <c r="AB38" s="67" t="s">
        <v>46</v>
      </c>
    </row>
    <row r="39" spans="1:28" s="54" customFormat="1" ht="382.5" x14ac:dyDescent="1.1000000000000001">
      <c r="A39" s="57">
        <v>52</v>
      </c>
      <c r="B39" s="81" t="s">
        <v>26</v>
      </c>
      <c r="C39" s="87" t="s">
        <v>92</v>
      </c>
      <c r="D39" s="67" t="s">
        <v>28</v>
      </c>
      <c r="E39" s="79" t="s">
        <v>349</v>
      </c>
      <c r="F39" s="67" t="s">
        <v>65</v>
      </c>
      <c r="G39" s="67" t="s">
        <v>69</v>
      </c>
      <c r="H39" s="69" t="s">
        <v>37</v>
      </c>
      <c r="I39" s="69" t="s">
        <v>31</v>
      </c>
      <c r="J39" s="69" t="s">
        <v>32</v>
      </c>
      <c r="K39" s="69" t="s">
        <v>32</v>
      </c>
      <c r="L39" s="69" t="s">
        <v>33</v>
      </c>
      <c r="M39" s="69" t="s">
        <v>34</v>
      </c>
      <c r="N39" s="70" t="s">
        <v>33</v>
      </c>
      <c r="O39" s="71">
        <v>10</v>
      </c>
      <c r="P39" s="72">
        <v>3</v>
      </c>
      <c r="Q39" s="73">
        <v>0.5</v>
      </c>
      <c r="R39" s="74">
        <f>PRODUCT(O39:Q39)</f>
        <v>15</v>
      </c>
      <c r="S39" s="75" t="str">
        <f>IF(R39&gt;400,"Insustentável (risco extremo)", IF(R39&gt;200,"Significativo (risco muito alto)", IF(R39&gt;70,"Significativo (alto risco)", IF(R39&gt;21,"Significativo (risco médio)", "Insignificante"))))</f>
        <v>Insignificante</v>
      </c>
      <c r="T39" s="67" t="s">
        <v>387</v>
      </c>
      <c r="U39" s="67" t="s">
        <v>272</v>
      </c>
      <c r="V39" s="88" t="s">
        <v>273</v>
      </c>
      <c r="W39" s="76">
        <v>10</v>
      </c>
      <c r="X39" s="72">
        <v>3</v>
      </c>
      <c r="Y39" s="73">
        <v>0.1</v>
      </c>
      <c r="Z39" s="77">
        <f>PRODUCT(W39:Y39)</f>
        <v>3</v>
      </c>
      <c r="AA39" s="75" t="str">
        <f>IF(Z39&gt;400,"Insustentável (risco extremo)", IF(Z39&gt;200,"Significativo (risco muito alto)", IF(Z39&gt;70,"Significativo (alto risco)", IF(Z39&gt;21,"Significativo (risco médio)", "Insignificante"))))</f>
        <v>Insignificante</v>
      </c>
      <c r="AB39" s="67" t="s">
        <v>46</v>
      </c>
    </row>
    <row r="40" spans="1:28" s="54" customFormat="1" ht="382.5" x14ac:dyDescent="1.1000000000000001">
      <c r="A40" s="57">
        <v>53</v>
      </c>
      <c r="B40" s="81" t="s">
        <v>26</v>
      </c>
      <c r="C40" s="87" t="s">
        <v>93</v>
      </c>
      <c r="D40" s="67" t="s">
        <v>28</v>
      </c>
      <c r="E40" s="79" t="s">
        <v>350</v>
      </c>
      <c r="F40" s="67" t="s">
        <v>65</v>
      </c>
      <c r="G40" s="67" t="s">
        <v>69</v>
      </c>
      <c r="H40" s="69" t="s">
        <v>37</v>
      </c>
      <c r="I40" s="69" t="s">
        <v>31</v>
      </c>
      <c r="J40" s="69" t="s">
        <v>32</v>
      </c>
      <c r="K40" s="69" t="s">
        <v>32</v>
      </c>
      <c r="L40" s="69" t="s">
        <v>33</v>
      </c>
      <c r="M40" s="69" t="s">
        <v>34</v>
      </c>
      <c r="N40" s="70" t="s">
        <v>35</v>
      </c>
      <c r="O40" s="71">
        <v>6</v>
      </c>
      <c r="P40" s="72">
        <v>3</v>
      </c>
      <c r="Q40" s="73">
        <v>0.5</v>
      </c>
      <c r="R40" s="74">
        <f>PRODUCT(O40:Q40)</f>
        <v>9</v>
      </c>
      <c r="S40" s="75" t="str">
        <f>IF(R40&gt;400,"Insustentável (risco extremo)", IF(R40&gt;200,"Significativo (risco muito alto)", IF(R40&gt;70,"Significativo (alto risco)", IF(R40&gt;21,"Significativo (risco médio)", "Insignificante"))))</f>
        <v>Insignificante</v>
      </c>
      <c r="T40" s="67" t="s">
        <v>387</v>
      </c>
      <c r="U40" s="67" t="s">
        <v>272</v>
      </c>
      <c r="V40" s="88" t="s">
        <v>273</v>
      </c>
      <c r="W40" s="76">
        <v>6</v>
      </c>
      <c r="X40" s="72">
        <v>3</v>
      </c>
      <c r="Y40" s="73">
        <v>0.1</v>
      </c>
      <c r="Z40" s="77">
        <f>PRODUCT(W40:Y40)</f>
        <v>1.8</v>
      </c>
      <c r="AA40" s="75" t="str">
        <f>IF(Z40&gt;400,"Insustentável (risco extremo)", IF(Z40&gt;200,"Significativo (risco muito alto)", IF(Z40&gt;70,"Significativo (alto risco)", IF(Z40&gt;21,"Significativo (risco médio)", "Insignificante"))))</f>
        <v>Insignificante</v>
      </c>
      <c r="AB40" s="67" t="s">
        <v>46</v>
      </c>
    </row>
    <row r="41" spans="1:28" s="54" customFormat="1" ht="382.5" x14ac:dyDescent="1.1000000000000001">
      <c r="A41" s="57">
        <v>54</v>
      </c>
      <c r="B41" s="81" t="s">
        <v>26</v>
      </c>
      <c r="C41" s="87" t="s">
        <v>93</v>
      </c>
      <c r="D41" s="67" t="s">
        <v>28</v>
      </c>
      <c r="E41" s="79" t="s">
        <v>95</v>
      </c>
      <c r="F41" s="67" t="s">
        <v>42</v>
      </c>
      <c r="G41" s="67" t="s">
        <v>80</v>
      </c>
      <c r="H41" s="69" t="s">
        <v>30</v>
      </c>
      <c r="I41" s="69" t="s">
        <v>31</v>
      </c>
      <c r="J41" s="69" t="s">
        <v>32</v>
      </c>
      <c r="K41" s="69" t="s">
        <v>32</v>
      </c>
      <c r="L41" s="69" t="s">
        <v>33</v>
      </c>
      <c r="M41" s="69" t="s">
        <v>38</v>
      </c>
      <c r="N41" s="70" t="s">
        <v>43</v>
      </c>
      <c r="O41" s="71">
        <v>2</v>
      </c>
      <c r="P41" s="72">
        <v>40</v>
      </c>
      <c r="Q41" s="73">
        <v>0.5</v>
      </c>
      <c r="R41" s="74">
        <f>PRODUCT(O41:Q41)</f>
        <v>40</v>
      </c>
      <c r="S41" s="75" t="str">
        <f>IF(R41&gt;400,"Insustentável (risco extremo)", IF(R41&gt;200,"Significativo (risco muito alto)", IF(R41&gt;70,"Significativo (alto risco)", IF(R41&gt;21,"Significativo (risco médio)", "Insignificante"))))</f>
        <v>Significativo (risco médio)</v>
      </c>
      <c r="T41" s="67" t="s">
        <v>274</v>
      </c>
      <c r="U41" s="67" t="s">
        <v>275</v>
      </c>
      <c r="V41" s="67" t="s">
        <v>276</v>
      </c>
      <c r="W41" s="76">
        <v>2</v>
      </c>
      <c r="X41" s="72">
        <v>3</v>
      </c>
      <c r="Y41" s="73">
        <v>0.5</v>
      </c>
      <c r="Z41" s="77">
        <f>PRODUCT(W41:Y41)</f>
        <v>3</v>
      </c>
      <c r="AA41" s="75" t="str">
        <f>IF(Z41&gt;400,"Insustentável (risco extremo)", IF(Z41&gt;200,"Significativo (risco muito alto)", IF(Z41&gt;70,"Significativo (alto risco)", IF(Z41&gt;21,"Significativo (risco médio)", "Insignificante"))))</f>
        <v>Insignificante</v>
      </c>
      <c r="AB41" s="67" t="s">
        <v>38</v>
      </c>
    </row>
    <row r="42" spans="1:28" s="54" customFormat="1" ht="382.5" x14ac:dyDescent="1.1000000000000001">
      <c r="A42" s="57">
        <v>55</v>
      </c>
      <c r="B42" s="81" t="s">
        <v>26</v>
      </c>
      <c r="C42" s="87" t="s">
        <v>93</v>
      </c>
      <c r="D42" s="67" t="s">
        <v>28</v>
      </c>
      <c r="E42" s="79" t="s">
        <v>347</v>
      </c>
      <c r="F42" s="67" t="s">
        <v>343</v>
      </c>
      <c r="G42" s="67" t="s">
        <v>69</v>
      </c>
      <c r="H42" s="69" t="s">
        <v>37</v>
      </c>
      <c r="I42" s="69" t="s">
        <v>31</v>
      </c>
      <c r="J42" s="69" t="s">
        <v>32</v>
      </c>
      <c r="K42" s="69" t="s">
        <v>32</v>
      </c>
      <c r="L42" s="69" t="s">
        <v>33</v>
      </c>
      <c r="M42" s="69" t="s">
        <v>34</v>
      </c>
      <c r="N42" s="70" t="s">
        <v>33</v>
      </c>
      <c r="O42" s="71">
        <v>3</v>
      </c>
      <c r="P42" s="72">
        <v>3</v>
      </c>
      <c r="Q42" s="73">
        <v>0.5</v>
      </c>
      <c r="R42" s="74">
        <f>PRODUCT(O42:Q42)</f>
        <v>4.5</v>
      </c>
      <c r="S42" s="75" t="str">
        <f>IF(R42&gt;400,"Insustentável (risco extremo)", IF(R42&gt;200,"Significativo (risco muito alto)", IF(R42&gt;70,"Significativo (alto risco)", IF(R42&gt;21,"Significativo (risco médio)", "Insignificante"))))</f>
        <v>Insignificante</v>
      </c>
      <c r="T42" s="67" t="s">
        <v>271</v>
      </c>
      <c r="U42" s="67" t="s">
        <v>272</v>
      </c>
      <c r="V42" s="88" t="s">
        <v>273</v>
      </c>
      <c r="W42" s="76">
        <v>3</v>
      </c>
      <c r="X42" s="72">
        <v>3</v>
      </c>
      <c r="Y42" s="73">
        <v>0.2</v>
      </c>
      <c r="Z42" s="77">
        <f>PRODUCT(W42:Y42)</f>
        <v>1.8</v>
      </c>
      <c r="AA42" s="75" t="str">
        <f>IF(Z42&gt;400,"Insustentável (risco extremo)", IF(Z42&gt;200,"Significativo (risco muito alto)", IF(Z42&gt;70,"Significativo (alto risco)", IF(Z42&gt;21,"Significativo (risco médio)", "Insignificante"))))</f>
        <v>Insignificante</v>
      </c>
      <c r="AB42" s="67" t="s">
        <v>46</v>
      </c>
    </row>
    <row r="43" spans="1:28" s="54" customFormat="1" ht="382.5" x14ac:dyDescent="1.1000000000000001">
      <c r="A43" s="57">
        <v>56</v>
      </c>
      <c r="B43" s="81" t="s">
        <v>26</v>
      </c>
      <c r="C43" s="87" t="s">
        <v>93</v>
      </c>
      <c r="D43" s="67" t="s">
        <v>28</v>
      </c>
      <c r="E43" s="79" t="s">
        <v>348</v>
      </c>
      <c r="F43" s="67" t="s">
        <v>71</v>
      </c>
      <c r="G43" s="67" t="s">
        <v>69</v>
      </c>
      <c r="H43" s="69" t="s">
        <v>37</v>
      </c>
      <c r="I43" s="69" t="s">
        <v>31</v>
      </c>
      <c r="J43" s="69" t="s">
        <v>32</v>
      </c>
      <c r="K43" s="69" t="s">
        <v>32</v>
      </c>
      <c r="L43" s="69" t="s">
        <v>33</v>
      </c>
      <c r="M43" s="69" t="s">
        <v>34</v>
      </c>
      <c r="N43" s="70" t="s">
        <v>33</v>
      </c>
      <c r="O43" s="71">
        <v>6</v>
      </c>
      <c r="P43" s="72">
        <v>3</v>
      </c>
      <c r="Q43" s="73">
        <v>0.5</v>
      </c>
      <c r="R43" s="74">
        <f>PRODUCT(O43:Q43)</f>
        <v>9</v>
      </c>
      <c r="S43" s="75" t="str">
        <f>IF(R43&gt;400,"Insustentável (risco extremo)", IF(R43&gt;200,"Significativo (risco muito alto)", IF(R43&gt;70,"Significativo (alto risco)", IF(R43&gt;21,"Significativo (risco médio)", "Insignificante"))))</f>
        <v>Insignificante</v>
      </c>
      <c r="T43" s="67" t="s">
        <v>387</v>
      </c>
      <c r="U43" s="67" t="s">
        <v>278</v>
      </c>
      <c r="V43" s="88" t="s">
        <v>279</v>
      </c>
      <c r="W43" s="76">
        <v>6</v>
      </c>
      <c r="X43" s="72">
        <v>3</v>
      </c>
      <c r="Y43" s="73">
        <v>0.1</v>
      </c>
      <c r="Z43" s="77">
        <f>PRODUCT(W43:Y43)</f>
        <v>1.8</v>
      </c>
      <c r="AA43" s="75" t="str">
        <f>IF(Z43&gt;400,"Insustentável (risco extremo)", IF(Z43&gt;200,"Significativo (risco muito alto)", IF(Z43&gt;70,"Significativo (alto risco)", IF(Z43&gt;21,"Significativo (risco médio)", "Insignificante"))))</f>
        <v>Insignificante</v>
      </c>
      <c r="AB43" s="67" t="s">
        <v>46</v>
      </c>
    </row>
    <row r="44" spans="1:28" s="54" customFormat="1" ht="382.5" x14ac:dyDescent="1.1000000000000001">
      <c r="A44" s="57">
        <v>58</v>
      </c>
      <c r="B44" s="81" t="s">
        <v>26</v>
      </c>
      <c r="C44" s="87" t="s">
        <v>93</v>
      </c>
      <c r="D44" s="67" t="s">
        <v>28</v>
      </c>
      <c r="E44" s="79" t="s">
        <v>98</v>
      </c>
      <c r="F44" s="67" t="s">
        <v>99</v>
      </c>
      <c r="G44" s="67" t="s">
        <v>90</v>
      </c>
      <c r="H44" s="69" t="s">
        <v>37</v>
      </c>
      <c r="I44" s="69" t="s">
        <v>31</v>
      </c>
      <c r="J44" s="69" t="s">
        <v>32</v>
      </c>
      <c r="K44" s="69" t="s">
        <v>32</v>
      </c>
      <c r="L44" s="69" t="s">
        <v>33</v>
      </c>
      <c r="M44" s="69" t="s">
        <v>34</v>
      </c>
      <c r="N44" s="70" t="s">
        <v>33</v>
      </c>
      <c r="O44" s="71">
        <v>6</v>
      </c>
      <c r="P44" s="72">
        <v>1</v>
      </c>
      <c r="Q44" s="73">
        <v>0.5</v>
      </c>
      <c r="R44" s="74">
        <f>PRODUCT(O44:Q44)</f>
        <v>3</v>
      </c>
      <c r="S44" s="75" t="str">
        <f>IF(R44&gt;400,"Insustentável (risco extremo)", IF(R44&gt;200,"Significativo (risco muito alto)", IF(R44&gt;70,"Significativo (alto risco)", IF(R44&gt;21,"Significativo (risco médio)", "Insignificante"))))</f>
        <v>Insignificante</v>
      </c>
      <c r="T44" s="67" t="s">
        <v>302</v>
      </c>
      <c r="U44" s="67" t="s">
        <v>303</v>
      </c>
      <c r="V44" s="67" t="s">
        <v>304</v>
      </c>
      <c r="W44" s="76">
        <v>6</v>
      </c>
      <c r="X44" s="72">
        <v>1</v>
      </c>
      <c r="Y44" s="73">
        <v>0.2</v>
      </c>
      <c r="Z44" s="77">
        <f>PRODUCT(W44:Y44)</f>
        <v>1.2000000000000002</v>
      </c>
      <c r="AA44" s="75" t="str">
        <f>IF(Z44&gt;400,"Insustentável (risco extremo)", IF(Z44&gt;200,"Significativo (risco muito alto)", IF(Z44&gt;70,"Significativo (alto risco)", IF(Z44&gt;21,"Significativo (risco médio)", "Insignificante"))))</f>
        <v>Insignificante</v>
      </c>
      <c r="AB44" s="67" t="s">
        <v>331</v>
      </c>
    </row>
    <row r="45" spans="1:28" s="54" customFormat="1" ht="382.5" x14ac:dyDescent="1.1000000000000001">
      <c r="A45" s="57">
        <v>59</v>
      </c>
      <c r="B45" s="81" t="s">
        <v>26</v>
      </c>
      <c r="C45" s="87" t="s">
        <v>93</v>
      </c>
      <c r="D45" s="67" t="s">
        <v>28</v>
      </c>
      <c r="E45" s="79" t="s">
        <v>100</v>
      </c>
      <c r="F45" s="67" t="s">
        <v>54</v>
      </c>
      <c r="G45" s="67" t="s">
        <v>90</v>
      </c>
      <c r="H45" s="69" t="s">
        <v>37</v>
      </c>
      <c r="I45" s="69" t="s">
        <v>31</v>
      </c>
      <c r="J45" s="69" t="s">
        <v>32</v>
      </c>
      <c r="K45" s="69" t="s">
        <v>32</v>
      </c>
      <c r="L45" s="69" t="s">
        <v>33</v>
      </c>
      <c r="M45" s="69" t="s">
        <v>34</v>
      </c>
      <c r="N45" s="70" t="s">
        <v>33</v>
      </c>
      <c r="O45" s="71">
        <v>10</v>
      </c>
      <c r="P45" s="72">
        <v>1</v>
      </c>
      <c r="Q45" s="73">
        <v>0.5</v>
      </c>
      <c r="R45" s="74">
        <f>PRODUCT(O45:Q45)</f>
        <v>5</v>
      </c>
      <c r="S45" s="75" t="str">
        <f>IF(R45&gt;400,"Insustentável (risco extremo)", IF(R45&gt;200,"Significativo (risco muito alto)", IF(R45&gt;70,"Significativo (alto risco)", IF(R45&gt;21,"Significativo (risco médio)", "Insignificante"))))</f>
        <v>Insignificante</v>
      </c>
      <c r="T45" s="67" t="s">
        <v>283</v>
      </c>
      <c r="U45" s="67" t="s">
        <v>284</v>
      </c>
      <c r="V45" s="67" t="s">
        <v>285</v>
      </c>
      <c r="W45" s="76">
        <v>10</v>
      </c>
      <c r="X45" s="72">
        <v>1</v>
      </c>
      <c r="Y45" s="73">
        <v>0.2</v>
      </c>
      <c r="Z45" s="77">
        <f>PRODUCT(W45:Y45)</f>
        <v>2</v>
      </c>
      <c r="AA45" s="75" t="str">
        <f>IF(Z45&gt;400,"Insustentável (risco extremo)", IF(Z45&gt;200,"Significativo (risco muito alto)", IF(Z45&gt;70,"Significativo (alto risco)", IF(Z45&gt;21,"Significativo (risco médio)", "Insignificante"))))</f>
        <v>Insignificante</v>
      </c>
      <c r="AB45" s="67" t="s">
        <v>332</v>
      </c>
    </row>
    <row r="46" spans="1:28" s="54" customFormat="1" ht="382.5" x14ac:dyDescent="1.1000000000000001">
      <c r="A46" s="50">
        <v>60</v>
      </c>
      <c r="B46" s="145" t="s">
        <v>26</v>
      </c>
      <c r="C46" s="94" t="s">
        <v>195</v>
      </c>
      <c r="D46" s="67" t="s">
        <v>28</v>
      </c>
      <c r="E46" s="80" t="s">
        <v>351</v>
      </c>
      <c r="F46" s="69" t="s">
        <v>196</v>
      </c>
      <c r="G46" s="80" t="s">
        <v>80</v>
      </c>
      <c r="H46" s="69" t="s">
        <v>37</v>
      </c>
      <c r="I46" s="69" t="s">
        <v>31</v>
      </c>
      <c r="J46" s="69" t="s">
        <v>32</v>
      </c>
      <c r="K46" s="69" t="s">
        <v>32</v>
      </c>
      <c r="L46" s="69" t="s">
        <v>33</v>
      </c>
      <c r="M46" s="69" t="s">
        <v>38</v>
      </c>
      <c r="N46" s="70" t="s">
        <v>35</v>
      </c>
      <c r="O46" s="71">
        <v>1</v>
      </c>
      <c r="P46" s="72">
        <v>3</v>
      </c>
      <c r="Q46" s="73">
        <v>0.5</v>
      </c>
      <c r="R46" s="74">
        <f>PRODUCT(O46:Q46)</f>
        <v>1.5</v>
      </c>
      <c r="S46" s="75" t="str">
        <f>IF(R46&gt;400,"Insustentável (risco extremo)", IF(R46&gt;200,"Significativo (risco muito alto)", IF(R46&gt;70,"Significativo (alto risco)", IF(R46&gt;21,"Significativo (risco médio)", "Insignificante"))))</f>
        <v>Insignificante</v>
      </c>
      <c r="T46" s="80" t="s">
        <v>289</v>
      </c>
      <c r="U46" s="95" t="s">
        <v>272</v>
      </c>
      <c r="V46" s="80" t="s">
        <v>273</v>
      </c>
      <c r="W46" s="76">
        <v>1</v>
      </c>
      <c r="X46" s="72">
        <v>3</v>
      </c>
      <c r="Y46" s="73">
        <v>0.5</v>
      </c>
      <c r="Z46" s="77">
        <f>PRODUCT(W46:Y46)</f>
        <v>1.5</v>
      </c>
      <c r="AA46" s="75" t="str">
        <f>IF(Z46&gt;400,"Insustentável (risco extremo)", IF(Z46&gt;200,"Significativo (risco muito alto)", IF(Z46&gt;70,"Significativo (alto risco)", IF(Z46&gt;21,"Significativo (risco médio)", "Insignificante"))))</f>
        <v>Insignificante</v>
      </c>
      <c r="AB46" s="80" t="s">
        <v>46</v>
      </c>
    </row>
    <row r="47" spans="1:28" s="54" customFormat="1" ht="382.5" x14ac:dyDescent="1.1000000000000001">
      <c r="A47" s="50">
        <v>61</v>
      </c>
      <c r="B47" s="94" t="s">
        <v>26</v>
      </c>
      <c r="C47" s="94" t="s">
        <v>195</v>
      </c>
      <c r="D47" s="67" t="s">
        <v>28</v>
      </c>
      <c r="E47" s="80" t="s">
        <v>197</v>
      </c>
      <c r="F47" s="69" t="s">
        <v>196</v>
      </c>
      <c r="G47" s="80" t="s">
        <v>80</v>
      </c>
      <c r="H47" s="69" t="s">
        <v>37</v>
      </c>
      <c r="I47" s="69" t="s">
        <v>31</v>
      </c>
      <c r="J47" s="69" t="s">
        <v>32</v>
      </c>
      <c r="K47" s="69" t="s">
        <v>32</v>
      </c>
      <c r="L47" s="69" t="s">
        <v>33</v>
      </c>
      <c r="M47" s="69" t="s">
        <v>38</v>
      </c>
      <c r="N47" s="70" t="s">
        <v>35</v>
      </c>
      <c r="O47" s="71">
        <v>10</v>
      </c>
      <c r="P47" s="72">
        <v>3</v>
      </c>
      <c r="Q47" s="73">
        <v>0.5</v>
      </c>
      <c r="R47" s="74">
        <f>PRODUCT(O47:Q47)</f>
        <v>15</v>
      </c>
      <c r="S47" s="75" t="str">
        <f>IF(R47&gt;400,"Insustentável (risco extremo)", IF(R47&gt;200,"Significativo (risco muito alto)", IF(R47&gt;70,"Significativo (alto risco)", IF(R47&gt;21,"Significativo (risco médio)", "Insignificante"))))</f>
        <v>Insignificante</v>
      </c>
      <c r="T47" s="80" t="s">
        <v>289</v>
      </c>
      <c r="U47" s="95" t="s">
        <v>272</v>
      </c>
      <c r="V47" s="80" t="s">
        <v>273</v>
      </c>
      <c r="W47" s="76">
        <v>10</v>
      </c>
      <c r="X47" s="72">
        <v>3</v>
      </c>
      <c r="Y47" s="73">
        <v>0.1</v>
      </c>
      <c r="Z47" s="77">
        <f>PRODUCT(W47:Y47)</f>
        <v>3</v>
      </c>
      <c r="AA47" s="75" t="str">
        <f>IF(Z47&gt;400,"Insustentável (risco extremo)", IF(Z47&gt;200,"Significativo (risco muito alto)", IF(Z47&gt;70,"Significativo (alto risco)", IF(Z47&gt;21,"Significativo (risco médio)", "Insignificante"))))</f>
        <v>Insignificante</v>
      </c>
      <c r="AB47" s="80" t="s">
        <v>46</v>
      </c>
    </row>
    <row r="48" spans="1:28" s="54" customFormat="1" ht="306" x14ac:dyDescent="1.1000000000000001">
      <c r="A48" s="50">
        <v>62</v>
      </c>
      <c r="B48" s="81" t="s">
        <v>26</v>
      </c>
      <c r="C48" s="67" t="s">
        <v>83</v>
      </c>
      <c r="D48" s="67" t="s">
        <v>28</v>
      </c>
      <c r="E48" s="79" t="s">
        <v>84</v>
      </c>
      <c r="F48" s="67" t="s">
        <v>395</v>
      </c>
      <c r="G48" s="67" t="s">
        <v>210</v>
      </c>
      <c r="H48" s="69" t="s">
        <v>32</v>
      </c>
      <c r="I48" s="69" t="s">
        <v>31</v>
      </c>
      <c r="J48" s="69" t="s">
        <v>32</v>
      </c>
      <c r="K48" s="69" t="s">
        <v>32</v>
      </c>
      <c r="L48" s="69" t="s">
        <v>33</v>
      </c>
      <c r="M48" s="69" t="s">
        <v>38</v>
      </c>
      <c r="N48" s="70" t="s">
        <v>43</v>
      </c>
      <c r="O48" s="71">
        <v>3</v>
      </c>
      <c r="P48" s="72">
        <v>7</v>
      </c>
      <c r="Q48" s="73">
        <v>6</v>
      </c>
      <c r="R48" s="74">
        <f>PRODUCT(O48:Q48)</f>
        <v>126</v>
      </c>
      <c r="S48" s="75" t="str">
        <f>IF(R48&gt;400,"Insustentável (risco extremo)", IF(R48&gt;200,"Significativo (risco muito alto)", IF(R48&gt;70,"Significativo (alto risco)", IF(R48&gt;21,"Significativo (risco médio)", "Insignificante"))))</f>
        <v>Significativo (alto risco)</v>
      </c>
      <c r="T48" s="67" t="s">
        <v>296</v>
      </c>
      <c r="U48" s="67" t="s">
        <v>297</v>
      </c>
      <c r="V48" s="67" t="s">
        <v>298</v>
      </c>
      <c r="W48" s="76">
        <v>1</v>
      </c>
      <c r="X48" s="72">
        <v>3</v>
      </c>
      <c r="Y48" s="73">
        <v>0.1</v>
      </c>
      <c r="Z48" s="77">
        <f>PRODUCT(W48:Y48)</f>
        <v>0.30000000000000004</v>
      </c>
      <c r="AA48" s="75" t="str">
        <f>IF(Z48&gt;400,"Insustentável (risco extremo)", IF(Z48&gt;200,"Significativo (risco muito alto)", IF(Z48&gt;70,"Significativo (alto risco)", IF(Z48&gt;21,"Significativo (risco médio)", "Insignificante"))))</f>
        <v>Insignificante</v>
      </c>
      <c r="AB48" s="67" t="s">
        <v>38</v>
      </c>
    </row>
    <row r="49" spans="1:28" s="54" customFormat="1" ht="409.5" x14ac:dyDescent="1.1000000000000001">
      <c r="A49" s="50">
        <v>63</v>
      </c>
      <c r="B49" s="81" t="s">
        <v>26</v>
      </c>
      <c r="C49" s="67" t="s">
        <v>83</v>
      </c>
      <c r="D49" s="67" t="s">
        <v>28</v>
      </c>
      <c r="E49" s="79" t="s">
        <v>352</v>
      </c>
      <c r="F49" s="67" t="s">
        <v>29</v>
      </c>
      <c r="G49" s="67" t="s">
        <v>206</v>
      </c>
      <c r="H49" s="69" t="s">
        <v>30</v>
      </c>
      <c r="I49" s="69" t="s">
        <v>31</v>
      </c>
      <c r="J49" s="69" t="s">
        <v>32</v>
      </c>
      <c r="K49" s="69" t="s">
        <v>32</v>
      </c>
      <c r="L49" s="69" t="s">
        <v>33</v>
      </c>
      <c r="M49" s="69" t="s">
        <v>30</v>
      </c>
      <c r="N49" s="70" t="s">
        <v>35</v>
      </c>
      <c r="O49" s="71">
        <v>3</v>
      </c>
      <c r="P49" s="72">
        <v>40</v>
      </c>
      <c r="Q49" s="73">
        <v>1</v>
      </c>
      <c r="R49" s="74">
        <f>PRODUCT(O49:Q49)</f>
        <v>120</v>
      </c>
      <c r="S49" s="75" t="str">
        <f>IF(R49&gt;400,"Insustentável (risco extremo)", IF(R49&gt;200,"Significativo (risco muito alto)", IF(R49&gt;70,"Significativo (alto risco)", IF(R49&gt;21,"Significativo (risco médio)", "Insignificante"))))</f>
        <v>Significativo (alto risco)</v>
      </c>
      <c r="T49" s="67" t="s">
        <v>265</v>
      </c>
      <c r="U49" s="67" t="s">
        <v>266</v>
      </c>
      <c r="V49" s="67" t="s">
        <v>267</v>
      </c>
      <c r="W49" s="76">
        <v>3</v>
      </c>
      <c r="X49" s="72">
        <v>3</v>
      </c>
      <c r="Y49" s="73">
        <v>1</v>
      </c>
      <c r="Z49" s="77">
        <f>PRODUCT(W49:Y49)</f>
        <v>9</v>
      </c>
      <c r="AA49" s="75" t="str">
        <f>IF(Z49&gt;400,"Insustentável (risco extremo)", IF(Z49&gt;200,"Significativo (risco muito alto)", IF(Z49&gt;70,"Significativo (alto risco)", IF(Z49&gt;21,"Significativo (risco médio)", "Insignificante"))))</f>
        <v>Insignificante</v>
      </c>
      <c r="AB49" s="67" t="s">
        <v>38</v>
      </c>
    </row>
    <row r="50" spans="1:28" s="54" customFormat="1" ht="382.5" x14ac:dyDescent="1.1000000000000001">
      <c r="A50" s="50"/>
      <c r="B50" s="78" t="s">
        <v>26</v>
      </c>
      <c r="C50" s="67" t="s">
        <v>83</v>
      </c>
      <c r="D50" s="67" t="s">
        <v>28</v>
      </c>
      <c r="E50" s="79" t="s">
        <v>89</v>
      </c>
      <c r="F50" s="67" t="s">
        <v>54</v>
      </c>
      <c r="G50" s="69" t="s">
        <v>90</v>
      </c>
      <c r="H50" s="69" t="s">
        <v>37</v>
      </c>
      <c r="I50" s="69" t="s">
        <v>31</v>
      </c>
      <c r="J50" s="69" t="s">
        <v>32</v>
      </c>
      <c r="K50" s="69" t="s">
        <v>32</v>
      </c>
      <c r="L50" s="69" t="s">
        <v>33</v>
      </c>
      <c r="M50" s="69" t="s">
        <v>34</v>
      </c>
      <c r="N50" s="70" t="s">
        <v>43</v>
      </c>
      <c r="O50" s="71">
        <v>3</v>
      </c>
      <c r="P50" s="72">
        <v>1</v>
      </c>
      <c r="Q50" s="73">
        <v>0.5</v>
      </c>
      <c r="R50" s="74">
        <f>PRODUCT(O50:Q50)</f>
        <v>1.5</v>
      </c>
      <c r="S50" s="75" t="str">
        <f>IF(R50&gt;400,"Insustentável (risco extremo)", IF(R50&gt;200,"Significativo (risco muito alto)", IF(R50&gt;70,"Significativo (alto risco)", IF(R50&gt;21,"Significativo (risco médio)", "Insignificante"))))</f>
        <v>Insignificante</v>
      </c>
      <c r="T50" s="80" t="s">
        <v>283</v>
      </c>
      <c r="U50" s="80" t="s">
        <v>284</v>
      </c>
      <c r="V50" s="80" t="s">
        <v>285</v>
      </c>
      <c r="W50" s="76">
        <v>2</v>
      </c>
      <c r="X50" s="72">
        <v>1</v>
      </c>
      <c r="Y50" s="73">
        <v>0.2</v>
      </c>
      <c r="Z50" s="77">
        <f>PRODUCT(W50:Y50)</f>
        <v>0.4</v>
      </c>
      <c r="AA50" s="75" t="str">
        <f>IF(Z50&gt;400,"Insustentável (risco extremo)", IF(Z50&gt;200,"Significativo (risco muito alto)", IF(Z50&gt;70,"Significativo (alto risco)", IF(Z50&gt;21,"Significativo (risco médio)", "Insignificante"))))</f>
        <v>Insignificante</v>
      </c>
      <c r="AB50" s="67" t="s">
        <v>38</v>
      </c>
    </row>
    <row r="51" spans="1:28" s="54" customFormat="1" ht="409.5" x14ac:dyDescent="1.1000000000000001">
      <c r="A51" s="50">
        <v>64</v>
      </c>
      <c r="B51" s="81" t="s">
        <v>26</v>
      </c>
      <c r="C51" s="67" t="s">
        <v>83</v>
      </c>
      <c r="D51" s="67" t="s">
        <v>28</v>
      </c>
      <c r="E51" s="79" t="s">
        <v>91</v>
      </c>
      <c r="F51" s="67" t="s">
        <v>42</v>
      </c>
      <c r="G51" s="67" t="s">
        <v>80</v>
      </c>
      <c r="H51" s="69" t="s">
        <v>30</v>
      </c>
      <c r="I51" s="69" t="s">
        <v>31</v>
      </c>
      <c r="J51" s="69" t="s">
        <v>32</v>
      </c>
      <c r="K51" s="69" t="s">
        <v>32</v>
      </c>
      <c r="L51" s="69" t="s">
        <v>33</v>
      </c>
      <c r="M51" s="69" t="s">
        <v>38</v>
      </c>
      <c r="N51" s="70" t="s">
        <v>43</v>
      </c>
      <c r="O51" s="71">
        <v>2</v>
      </c>
      <c r="P51" s="72">
        <v>7</v>
      </c>
      <c r="Q51" s="73">
        <v>0.1</v>
      </c>
      <c r="R51" s="74">
        <f>PRODUCT(O51:Q51)</f>
        <v>1.4000000000000001</v>
      </c>
      <c r="S51" s="75" t="str">
        <f>IF(R51&gt;400,"Insustentável (risco extremo)", IF(R51&gt;200,"Significativo (risco muito alto)", IF(R51&gt;70,"Significativo (alto risco)", IF(R51&gt;21,"Significativo (risco médio)", "Insignificante"))))</f>
        <v>Insignificante</v>
      </c>
      <c r="T51" s="67" t="s">
        <v>353</v>
      </c>
      <c r="U51" s="67" t="s">
        <v>275</v>
      </c>
      <c r="V51" s="67" t="s">
        <v>276</v>
      </c>
      <c r="W51" s="76">
        <v>2</v>
      </c>
      <c r="X51" s="72">
        <v>3</v>
      </c>
      <c r="Y51" s="73">
        <v>0.1</v>
      </c>
      <c r="Z51" s="77">
        <f>PRODUCT(W51:Y51)</f>
        <v>0.60000000000000009</v>
      </c>
      <c r="AA51" s="75" t="str">
        <f>IF(Z51&gt;400,"Insustentável (risco extremo)", IF(Z51&gt;200,"Significativo (risco muito alto)", IF(Z51&gt;70,"Significativo (alto risco)", IF(Z51&gt;21,"Significativo (risco médio)", "Insignificante"))))</f>
        <v>Insignificante</v>
      </c>
      <c r="AB51" s="67" t="s">
        <v>38</v>
      </c>
    </row>
    <row r="52" spans="1:28" s="54" customFormat="1" ht="409.5" x14ac:dyDescent="1.1000000000000001">
      <c r="A52" s="50">
        <v>66</v>
      </c>
      <c r="B52" s="81" t="s">
        <v>26</v>
      </c>
      <c r="C52" s="67" t="s">
        <v>86</v>
      </c>
      <c r="D52" s="67" t="s">
        <v>28</v>
      </c>
      <c r="E52" s="79" t="s">
        <v>84</v>
      </c>
      <c r="F52" s="67" t="s">
        <v>29</v>
      </c>
      <c r="G52" s="67" t="s">
        <v>206</v>
      </c>
      <c r="H52" s="69" t="s">
        <v>30</v>
      </c>
      <c r="I52" s="69" t="s">
        <v>31</v>
      </c>
      <c r="J52" s="69" t="s">
        <v>32</v>
      </c>
      <c r="K52" s="69" t="s">
        <v>32</v>
      </c>
      <c r="L52" s="69" t="s">
        <v>33</v>
      </c>
      <c r="M52" s="69" t="s">
        <v>30</v>
      </c>
      <c r="N52" s="70" t="s">
        <v>35</v>
      </c>
      <c r="O52" s="71">
        <v>3</v>
      </c>
      <c r="P52" s="72">
        <v>40</v>
      </c>
      <c r="Q52" s="73">
        <v>0.2</v>
      </c>
      <c r="R52" s="74">
        <f>PRODUCT(O52:Q52)</f>
        <v>24</v>
      </c>
      <c r="S52" s="75" t="str">
        <f>IF(R52&gt;400,"Insustentável (risco extremo)", IF(R52&gt;200,"Significativo (risco muito alto)", IF(R52&gt;70,"Significativo (alto risco)", IF(R52&gt;21,"Significativo (risco médio)", "Insignificante"))))</f>
        <v>Significativo (risco médio)</v>
      </c>
      <c r="T52" s="67" t="s">
        <v>265</v>
      </c>
      <c r="U52" s="67" t="s">
        <v>266</v>
      </c>
      <c r="V52" s="67" t="s">
        <v>267</v>
      </c>
      <c r="W52" s="76">
        <v>3</v>
      </c>
      <c r="X52" s="72">
        <v>3</v>
      </c>
      <c r="Y52" s="73">
        <v>1</v>
      </c>
      <c r="Z52" s="77">
        <f>PRODUCT(W52:Y52)</f>
        <v>9</v>
      </c>
      <c r="AA52" s="75" t="str">
        <f>IF(Z52&gt;400,"Insustentável (risco extremo)", IF(Z52&gt;200,"Significativo (risco muito alto)", IF(Z52&gt;70,"Significativo (alto risco)", IF(Z52&gt;21,"Significativo (risco médio)", "Insignificante"))))</f>
        <v>Insignificante</v>
      </c>
      <c r="AB52" s="67" t="s">
        <v>38</v>
      </c>
    </row>
    <row r="53" spans="1:28" s="54" customFormat="1" ht="382.5" x14ac:dyDescent="1.1000000000000001">
      <c r="A53" s="50">
        <v>67</v>
      </c>
      <c r="B53" s="81" t="s">
        <v>26</v>
      </c>
      <c r="C53" s="67" t="s">
        <v>101</v>
      </c>
      <c r="D53" s="67" t="s">
        <v>28</v>
      </c>
      <c r="E53" s="79" t="s">
        <v>109</v>
      </c>
      <c r="F53" s="79" t="s">
        <v>65</v>
      </c>
      <c r="G53" s="67" t="s">
        <v>69</v>
      </c>
      <c r="H53" s="69" t="s">
        <v>37</v>
      </c>
      <c r="I53" s="69" t="s">
        <v>31</v>
      </c>
      <c r="J53" s="69" t="s">
        <v>32</v>
      </c>
      <c r="K53" s="69" t="s">
        <v>32</v>
      </c>
      <c r="L53" s="69" t="s">
        <v>33</v>
      </c>
      <c r="M53" s="69" t="s">
        <v>34</v>
      </c>
      <c r="N53" s="70" t="s">
        <v>33</v>
      </c>
      <c r="O53" s="71">
        <v>2</v>
      </c>
      <c r="P53" s="72">
        <v>3</v>
      </c>
      <c r="Q53" s="73">
        <v>0.5</v>
      </c>
      <c r="R53" s="74">
        <f>PRODUCT(O53:Q53)</f>
        <v>3</v>
      </c>
      <c r="S53" s="75" t="str">
        <f>IF(R53&gt;400,"Insustentável (risco extremo)", IF(R53&gt;200,"Significativo (risco muito alto)", IF(R53&gt;70,"Significativo (alto risco)", IF(R53&gt;21,"Significativo (risco médio)", "Insignificante"))))</f>
        <v>Insignificante</v>
      </c>
      <c r="T53" s="67" t="s">
        <v>387</v>
      </c>
      <c r="U53" s="67" t="s">
        <v>272</v>
      </c>
      <c r="V53" s="67" t="s">
        <v>273</v>
      </c>
      <c r="W53" s="76">
        <v>2</v>
      </c>
      <c r="X53" s="72">
        <v>3</v>
      </c>
      <c r="Y53" s="73">
        <v>0.1</v>
      </c>
      <c r="Z53" s="77">
        <f>PRODUCT(W53:Y53)</f>
        <v>0.60000000000000009</v>
      </c>
      <c r="AA53" s="75" t="str">
        <f>IF(Z53&gt;400,"Insustentável (risco extremo)", IF(Z53&gt;200,"Significativo (risco muito alto)", IF(Z53&gt;70,"Significativo (alto risco)", IF(Z53&gt;21,"Significativo (risco médio)", "Insignificante"))))</f>
        <v>Insignificante</v>
      </c>
      <c r="AB53" s="67" t="s">
        <v>46</v>
      </c>
    </row>
    <row r="54" spans="1:28" s="54" customFormat="1" ht="382.5" customHeight="1" x14ac:dyDescent="1.45">
      <c r="A54" s="50">
        <v>69</v>
      </c>
      <c r="B54" s="69" t="s">
        <v>26</v>
      </c>
      <c r="C54" s="67" t="s">
        <v>101</v>
      </c>
      <c r="D54" s="67" t="s">
        <v>28</v>
      </c>
      <c r="E54" s="79" t="s">
        <v>110</v>
      </c>
      <c r="F54" s="79" t="s">
        <v>104</v>
      </c>
      <c r="G54" s="67" t="s">
        <v>80</v>
      </c>
      <c r="H54" s="69" t="s">
        <v>37</v>
      </c>
      <c r="I54" s="69" t="s">
        <v>59</v>
      </c>
      <c r="J54" s="69" t="s">
        <v>32</v>
      </c>
      <c r="K54" s="69" t="s">
        <v>32</v>
      </c>
      <c r="L54" s="69" t="s">
        <v>33</v>
      </c>
      <c r="M54" s="69" t="s">
        <v>38</v>
      </c>
      <c r="N54" s="70" t="s">
        <v>43</v>
      </c>
      <c r="O54" s="71">
        <v>2</v>
      </c>
      <c r="P54" s="72">
        <v>3</v>
      </c>
      <c r="Q54" s="73">
        <v>0.2</v>
      </c>
      <c r="R54" s="74">
        <f>PRODUCT(O54:Q54)</f>
        <v>1.2000000000000002</v>
      </c>
      <c r="S54" s="75" t="str">
        <f>IF(R54&gt;400,"Insustentável (risco extremo)", IF(R54&gt;200,"Significativo (risco muito alto)", IF(R54&gt;70,"Significativo (alto risco)", IF(R54&gt;21,"Significativo (risco médio)", "Insignificante"))))</f>
        <v>Insignificante</v>
      </c>
      <c r="T54" s="67" t="s">
        <v>290</v>
      </c>
      <c r="U54" s="91" t="s">
        <v>291</v>
      </c>
      <c r="V54" s="67" t="s">
        <v>292</v>
      </c>
      <c r="W54" s="76">
        <v>2</v>
      </c>
      <c r="X54" s="72">
        <v>3</v>
      </c>
      <c r="Y54" s="73">
        <v>0.1</v>
      </c>
      <c r="Z54" s="77">
        <f>PRODUCT(W54:Y54)</f>
        <v>0.60000000000000009</v>
      </c>
      <c r="AA54" s="75" t="str">
        <f>IF(Z54&gt;400,"Insustentável (risco extremo)", IF(Z54&gt;200,"Significativo (risco muito alto)", IF(Z54&gt;70,"Significativo (alto risco)", IF(Z54&gt;21,"Significativo (risco médio)", "Insignificante"))))</f>
        <v>Insignificante</v>
      </c>
      <c r="AB54" s="67" t="s">
        <v>46</v>
      </c>
    </row>
    <row r="55" spans="1:28" s="54" customFormat="1" ht="382.5" x14ac:dyDescent="1.1000000000000001">
      <c r="A55" s="50">
        <v>70</v>
      </c>
      <c r="B55" s="78" t="s">
        <v>26</v>
      </c>
      <c r="C55" s="67" t="s">
        <v>101</v>
      </c>
      <c r="D55" s="67" t="s">
        <v>28</v>
      </c>
      <c r="E55" s="79" t="s">
        <v>112</v>
      </c>
      <c r="F55" s="79" t="s">
        <v>65</v>
      </c>
      <c r="G55" s="67" t="s">
        <v>69</v>
      </c>
      <c r="H55" s="69" t="s">
        <v>37</v>
      </c>
      <c r="I55" s="69" t="s">
        <v>31</v>
      </c>
      <c r="J55" s="69" t="s">
        <v>32</v>
      </c>
      <c r="K55" s="69" t="s">
        <v>32</v>
      </c>
      <c r="L55" s="69" t="s">
        <v>33</v>
      </c>
      <c r="M55" s="69" t="s">
        <v>34</v>
      </c>
      <c r="N55" s="70" t="s">
        <v>35</v>
      </c>
      <c r="O55" s="71">
        <v>6</v>
      </c>
      <c r="P55" s="72">
        <v>3</v>
      </c>
      <c r="Q55" s="73">
        <v>0.5</v>
      </c>
      <c r="R55" s="74">
        <f>PRODUCT(O55:Q55)</f>
        <v>9</v>
      </c>
      <c r="S55" s="75" t="str">
        <f>IF(R55&gt;400,"Insustentável (risco extremo)", IF(R55&gt;200,"Significativo (risco muito alto)", IF(R55&gt;70,"Significativo (alto risco)", IF(R55&gt;21,"Significativo (risco médio)", "Insignificante"))))</f>
        <v>Insignificante</v>
      </c>
      <c r="T55" s="67" t="s">
        <v>387</v>
      </c>
      <c r="U55" s="67" t="s">
        <v>272</v>
      </c>
      <c r="V55" s="67" t="s">
        <v>273</v>
      </c>
      <c r="W55" s="76">
        <v>6</v>
      </c>
      <c r="X55" s="72">
        <v>3</v>
      </c>
      <c r="Y55" s="73">
        <v>0.1</v>
      </c>
      <c r="Z55" s="77">
        <f>PRODUCT(W55:Y55)</f>
        <v>1.8</v>
      </c>
      <c r="AA55" s="75" t="str">
        <f>IF(Z55&gt;400,"Insustentável (risco extremo)", IF(Z55&gt;200,"Significativo (risco muito alto)", IF(Z55&gt;70,"Significativo (alto risco)", IF(Z55&gt;21,"Significativo (risco médio)", "Insignificante"))))</f>
        <v>Insignificante</v>
      </c>
      <c r="AB55" s="67" t="s">
        <v>46</v>
      </c>
    </row>
    <row r="56" spans="1:28" s="54" customFormat="1" ht="382.5" x14ac:dyDescent="1.1000000000000001">
      <c r="A56" s="50">
        <v>72</v>
      </c>
      <c r="B56" s="78" t="s">
        <v>26</v>
      </c>
      <c r="C56" s="67" t="s">
        <v>101</v>
      </c>
      <c r="D56" s="67" t="s">
        <v>28</v>
      </c>
      <c r="E56" s="79" t="s">
        <v>113</v>
      </c>
      <c r="F56" s="79" t="s">
        <v>54</v>
      </c>
      <c r="G56" s="67" t="s">
        <v>90</v>
      </c>
      <c r="H56" s="69" t="s">
        <v>37</v>
      </c>
      <c r="I56" s="69" t="s">
        <v>31</v>
      </c>
      <c r="J56" s="69" t="s">
        <v>32</v>
      </c>
      <c r="K56" s="69" t="s">
        <v>32</v>
      </c>
      <c r="L56" s="69" t="s">
        <v>33</v>
      </c>
      <c r="M56" s="69" t="s">
        <v>34</v>
      </c>
      <c r="N56" s="70" t="s">
        <v>33</v>
      </c>
      <c r="O56" s="71">
        <v>10</v>
      </c>
      <c r="P56" s="72">
        <v>1</v>
      </c>
      <c r="Q56" s="73">
        <v>0.5</v>
      </c>
      <c r="R56" s="74">
        <f>PRODUCT(O56:Q56)</f>
        <v>5</v>
      </c>
      <c r="S56" s="75" t="str">
        <f>IF(R56&gt;400,"Insustentável (risco extremo)", IF(R56&gt;200,"Significativo (risco muito alto)", IF(R56&gt;70,"Significativo (alto risco)", IF(R56&gt;21,"Significativo (risco médio)", "Insignificante"))))</f>
        <v>Insignificante</v>
      </c>
      <c r="T56" s="67" t="s">
        <v>283</v>
      </c>
      <c r="U56" s="67" t="s">
        <v>284</v>
      </c>
      <c r="V56" s="67" t="s">
        <v>285</v>
      </c>
      <c r="W56" s="76">
        <v>10</v>
      </c>
      <c r="X56" s="72">
        <v>1</v>
      </c>
      <c r="Y56" s="73">
        <v>0.2</v>
      </c>
      <c r="Z56" s="77">
        <f>PRODUCT(W56:Y56)</f>
        <v>2</v>
      </c>
      <c r="AA56" s="75" t="str">
        <f>IF(Z56&gt;400,"Insustentável (risco extremo)", IF(Z56&gt;200,"Significativo (risco muito alto)", IF(Z56&gt;70,"Significativo (alto risco)", IF(Z56&gt;21,"Significativo (risco médio)", "Insignificante"))))</f>
        <v>Insignificante</v>
      </c>
      <c r="AB56" s="67" t="s">
        <v>332</v>
      </c>
    </row>
    <row r="57" spans="1:28" s="54" customFormat="1" ht="409.5" customHeight="1" x14ac:dyDescent="1.1000000000000001">
      <c r="A57" s="50">
        <v>73</v>
      </c>
      <c r="B57" s="78" t="s">
        <v>26</v>
      </c>
      <c r="C57" s="67" t="s">
        <v>101</v>
      </c>
      <c r="D57" s="67" t="s">
        <v>28</v>
      </c>
      <c r="E57" s="79" t="s">
        <v>114</v>
      </c>
      <c r="F57" s="79" t="s">
        <v>115</v>
      </c>
      <c r="G57" s="67" t="s">
        <v>80</v>
      </c>
      <c r="H57" s="69" t="s">
        <v>37</v>
      </c>
      <c r="I57" s="69" t="s">
        <v>31</v>
      </c>
      <c r="J57" s="69" t="s">
        <v>32</v>
      </c>
      <c r="K57" s="69" t="s">
        <v>32</v>
      </c>
      <c r="L57" s="69" t="s">
        <v>33</v>
      </c>
      <c r="M57" s="69" t="s">
        <v>38</v>
      </c>
      <c r="N57" s="70" t="s">
        <v>33</v>
      </c>
      <c r="O57" s="71">
        <v>10</v>
      </c>
      <c r="P57" s="72">
        <v>3</v>
      </c>
      <c r="Q57" s="73">
        <v>0.2</v>
      </c>
      <c r="R57" s="74">
        <f>PRODUCT(O57:Q57)</f>
        <v>6</v>
      </c>
      <c r="S57" s="75" t="str">
        <f>IF(R57&gt;400,"Insustentável (risco extremo)", IF(R57&gt;200,"Significativo (risco muito alto)", IF(R57&gt;70,"Significativo (alto risco)", IF(R57&gt;21,"Significativo (risco médio)", "Insignificante"))))</f>
        <v>Insignificante</v>
      </c>
      <c r="T57" s="67" t="s">
        <v>293</v>
      </c>
      <c r="U57" s="67" t="s">
        <v>294</v>
      </c>
      <c r="V57" s="67" t="s">
        <v>295</v>
      </c>
      <c r="W57" s="76">
        <v>10</v>
      </c>
      <c r="X57" s="72">
        <v>3</v>
      </c>
      <c r="Y57" s="73">
        <v>0.2</v>
      </c>
      <c r="Z57" s="77">
        <f>PRODUCT(W57:Y57)</f>
        <v>6</v>
      </c>
      <c r="AA57" s="75" t="str">
        <f>IF(Z57&gt;400,"Insustentável (risco extremo)", IF(Z57&gt;200,"Significativo (risco muito alto)", IF(Z57&gt;70,"Significativo (alto risco)", IF(Z57&gt;21,"Significativo (risco médio)", "Insignificante"))))</f>
        <v>Insignificante</v>
      </c>
      <c r="AB57" s="67" t="s">
        <v>62</v>
      </c>
    </row>
    <row r="58" spans="1:28" s="54" customFormat="1" ht="382.5" x14ac:dyDescent="1.1000000000000001">
      <c r="A58" s="50">
        <v>74</v>
      </c>
      <c r="B58" s="78" t="s">
        <v>26</v>
      </c>
      <c r="C58" s="67" t="s">
        <v>101</v>
      </c>
      <c r="D58" s="67" t="s">
        <v>28</v>
      </c>
      <c r="E58" s="79" t="s">
        <v>114</v>
      </c>
      <c r="F58" s="79" t="s">
        <v>65</v>
      </c>
      <c r="G58" s="67" t="s">
        <v>69</v>
      </c>
      <c r="H58" s="69" t="s">
        <v>37</v>
      </c>
      <c r="I58" s="69" t="s">
        <v>31</v>
      </c>
      <c r="J58" s="69" t="s">
        <v>32</v>
      </c>
      <c r="K58" s="69" t="s">
        <v>32</v>
      </c>
      <c r="L58" s="69" t="s">
        <v>33</v>
      </c>
      <c r="M58" s="69" t="s">
        <v>34</v>
      </c>
      <c r="N58" s="70" t="s">
        <v>33</v>
      </c>
      <c r="O58" s="71">
        <v>10</v>
      </c>
      <c r="P58" s="72">
        <v>3</v>
      </c>
      <c r="Q58" s="73">
        <v>0.5</v>
      </c>
      <c r="R58" s="74">
        <f>PRODUCT(O58:Q58)</f>
        <v>15</v>
      </c>
      <c r="S58" s="75" t="str">
        <f>IF(R58&gt;400,"Insustentável (risco extremo)", IF(R58&gt;200,"Significativo (risco muito alto)", IF(R58&gt;70,"Significativo (alto risco)", IF(R58&gt;21,"Significativo (risco médio)", "Insignificante"))))</f>
        <v>Insignificante</v>
      </c>
      <c r="T58" s="90" t="s">
        <v>387</v>
      </c>
      <c r="U58" s="67" t="s">
        <v>272</v>
      </c>
      <c r="V58" s="67" t="s">
        <v>273</v>
      </c>
      <c r="W58" s="76">
        <v>10</v>
      </c>
      <c r="X58" s="72">
        <v>3</v>
      </c>
      <c r="Y58" s="73">
        <v>0.2</v>
      </c>
      <c r="Z58" s="77">
        <f>PRODUCT(W58:Y58)</f>
        <v>6</v>
      </c>
      <c r="AA58" s="75" t="str">
        <f>IF(Z58&gt;400,"Insustentável (risco extremo)", IF(Z58&gt;200,"Significativo (risco muito alto)", IF(Z58&gt;70,"Significativo (alto risco)", IF(Z58&gt;21,"Significativo (risco médio)", "Insignificante"))))</f>
        <v>Insignificante</v>
      </c>
      <c r="AB58" s="67" t="s">
        <v>46</v>
      </c>
    </row>
    <row r="59" spans="1:28" s="54" customFormat="1" ht="382.5" x14ac:dyDescent="1.1000000000000001">
      <c r="A59" s="50">
        <v>75</v>
      </c>
      <c r="B59" s="78" t="s">
        <v>26</v>
      </c>
      <c r="C59" s="67" t="s">
        <v>101</v>
      </c>
      <c r="D59" s="67" t="s">
        <v>28</v>
      </c>
      <c r="E59" s="79" t="s">
        <v>116</v>
      </c>
      <c r="F59" s="79" t="s">
        <v>117</v>
      </c>
      <c r="G59" s="67" t="s">
        <v>200</v>
      </c>
      <c r="H59" s="69" t="s">
        <v>32</v>
      </c>
      <c r="I59" s="69" t="s">
        <v>31</v>
      </c>
      <c r="J59" s="69" t="s">
        <v>32</v>
      </c>
      <c r="K59" s="69" t="s">
        <v>32</v>
      </c>
      <c r="L59" s="69" t="s">
        <v>33</v>
      </c>
      <c r="M59" s="69" t="s">
        <v>38</v>
      </c>
      <c r="N59" s="70" t="s">
        <v>35</v>
      </c>
      <c r="O59" s="71">
        <v>10</v>
      </c>
      <c r="P59" s="72">
        <v>7</v>
      </c>
      <c r="Q59" s="73">
        <v>0.1</v>
      </c>
      <c r="R59" s="74">
        <f>PRODUCT(O59:Q59)</f>
        <v>7</v>
      </c>
      <c r="S59" s="75" t="str">
        <f>IF(R59&gt;400,"Insustentável (risco extremo)", IF(R59&gt;200,"Significativo (risco muito alto)", IF(R59&gt;70,"Significativo (alto risco)", IF(R59&gt;21,"Significativo (risco médio)", "Insignificante"))))</f>
        <v>Insignificante</v>
      </c>
      <c r="T59" s="67" t="s">
        <v>308</v>
      </c>
      <c r="U59" s="67" t="s">
        <v>309</v>
      </c>
      <c r="V59" s="67" t="s">
        <v>310</v>
      </c>
      <c r="W59" s="76">
        <v>10</v>
      </c>
      <c r="X59" s="72">
        <v>3</v>
      </c>
      <c r="Y59" s="73">
        <v>0.1</v>
      </c>
      <c r="Z59" s="77">
        <f>PRODUCT(W59:Y59)</f>
        <v>3</v>
      </c>
      <c r="AA59" s="75" t="str">
        <f>IF(Z59&gt;400,"Insustentável (risco extremo)", IF(Z59&gt;200,"Significativo (risco muito alto)", IF(Z59&gt;70,"Significativo (alto risco)", IF(Z59&gt;21,"Significativo (risco médio)", "Insignificante"))))</f>
        <v>Insignificante</v>
      </c>
      <c r="AB59" s="67" t="s">
        <v>38</v>
      </c>
    </row>
    <row r="60" spans="1:28" s="54" customFormat="1" ht="382.5" x14ac:dyDescent="1.1000000000000001">
      <c r="A60" s="50">
        <v>76</v>
      </c>
      <c r="B60" s="78" t="s">
        <v>26</v>
      </c>
      <c r="C60" s="67" t="s">
        <v>101</v>
      </c>
      <c r="D60" s="67" t="s">
        <v>28</v>
      </c>
      <c r="E60" s="79" t="s">
        <v>363</v>
      </c>
      <c r="F60" s="79" t="s">
        <v>71</v>
      </c>
      <c r="G60" s="67" t="s">
        <v>69</v>
      </c>
      <c r="H60" s="69" t="s">
        <v>37</v>
      </c>
      <c r="I60" s="69" t="s">
        <v>31</v>
      </c>
      <c r="J60" s="69" t="s">
        <v>32</v>
      </c>
      <c r="K60" s="69" t="s">
        <v>32</v>
      </c>
      <c r="L60" s="69" t="s">
        <v>33</v>
      </c>
      <c r="M60" s="69" t="s">
        <v>34</v>
      </c>
      <c r="N60" s="70" t="s">
        <v>33</v>
      </c>
      <c r="O60" s="71">
        <v>6</v>
      </c>
      <c r="P60" s="72">
        <v>3</v>
      </c>
      <c r="Q60" s="73">
        <v>0.5</v>
      </c>
      <c r="R60" s="74">
        <v>9</v>
      </c>
      <c r="S60" s="75" t="s">
        <v>382</v>
      </c>
      <c r="T60" s="67" t="s">
        <v>387</v>
      </c>
      <c r="U60" s="67" t="s">
        <v>278</v>
      </c>
      <c r="V60" s="67" t="s">
        <v>279</v>
      </c>
      <c r="W60" s="76">
        <v>6</v>
      </c>
      <c r="X60" s="72">
        <v>3</v>
      </c>
      <c r="Y60" s="73">
        <v>0.1</v>
      </c>
      <c r="Z60" s="77">
        <v>1.8</v>
      </c>
      <c r="AA60" s="75" t="s">
        <v>382</v>
      </c>
      <c r="AB60" s="67" t="s">
        <v>46</v>
      </c>
    </row>
    <row r="61" spans="1:28" s="54" customFormat="1" ht="382.5" x14ac:dyDescent="1.1000000000000001">
      <c r="A61" s="50">
        <v>77</v>
      </c>
      <c r="B61" s="78" t="s">
        <v>26</v>
      </c>
      <c r="C61" s="67" t="s">
        <v>101</v>
      </c>
      <c r="D61" s="67" t="s">
        <v>28</v>
      </c>
      <c r="E61" s="67" t="s">
        <v>121</v>
      </c>
      <c r="F61" s="79" t="s">
        <v>389</v>
      </c>
      <c r="G61" s="67" t="s">
        <v>80</v>
      </c>
      <c r="H61" s="69" t="s">
        <v>37</v>
      </c>
      <c r="I61" s="69" t="s">
        <v>31</v>
      </c>
      <c r="J61" s="69" t="s">
        <v>32</v>
      </c>
      <c r="K61" s="69" t="s">
        <v>32</v>
      </c>
      <c r="L61" s="69" t="s">
        <v>33</v>
      </c>
      <c r="M61" s="69" t="s">
        <v>38</v>
      </c>
      <c r="N61" s="70" t="s">
        <v>43</v>
      </c>
      <c r="O61" s="71">
        <v>6</v>
      </c>
      <c r="P61" s="72">
        <v>3</v>
      </c>
      <c r="Q61" s="73">
        <v>0.2</v>
      </c>
      <c r="R61" s="74">
        <f>PRODUCT(O61:Q61)</f>
        <v>3.6</v>
      </c>
      <c r="S61" s="75" t="str">
        <f>IF(R61&gt;400,"Insustentável (risco extremo)", IF(R61&gt;200,"Significativo (risco muito alto)", IF(R61&gt;70,"Significativo (alto risco)", IF(R61&gt;21,"Significativo (risco médio)", "Insignificante"))))</f>
        <v>Insignificante</v>
      </c>
      <c r="T61" s="67" t="s">
        <v>299</v>
      </c>
      <c r="U61" s="67" t="s">
        <v>300</v>
      </c>
      <c r="V61" s="67" t="s">
        <v>301</v>
      </c>
      <c r="W61" s="76">
        <v>6</v>
      </c>
      <c r="X61" s="72">
        <v>3</v>
      </c>
      <c r="Y61" s="73">
        <v>0.2</v>
      </c>
      <c r="Z61" s="77">
        <f>PRODUCT(W61:Y61)</f>
        <v>3.6</v>
      </c>
      <c r="AA61" s="75" t="str">
        <f>IF(Z61&gt;400,"Insustentável (risco extremo)", IF(Z61&gt;200,"Significativo (risco muito alto)", IF(Z61&gt;70,"Significativo (alto risco)", IF(Z61&gt;21,"Significativo (risco médio)", "Insignificante"))))</f>
        <v>Insignificante</v>
      </c>
      <c r="AB61" s="67" t="s">
        <v>38</v>
      </c>
    </row>
    <row r="62" spans="1:28" s="54" customFormat="1" ht="409.5" x14ac:dyDescent="1.1000000000000001">
      <c r="A62" s="50">
        <v>78</v>
      </c>
      <c r="B62" s="78" t="s">
        <v>26</v>
      </c>
      <c r="C62" s="67" t="s">
        <v>101</v>
      </c>
      <c r="D62" s="67" t="s">
        <v>28</v>
      </c>
      <c r="E62" s="67" t="s">
        <v>380</v>
      </c>
      <c r="F62" s="67" t="s">
        <v>132</v>
      </c>
      <c r="G62" s="67" t="s">
        <v>80</v>
      </c>
      <c r="H62" s="69" t="s">
        <v>30</v>
      </c>
      <c r="I62" s="69" t="s">
        <v>34</v>
      </c>
      <c r="J62" s="69" t="s">
        <v>32</v>
      </c>
      <c r="K62" s="69" t="s">
        <v>32</v>
      </c>
      <c r="L62" s="69" t="s">
        <v>33</v>
      </c>
      <c r="M62" s="69" t="s">
        <v>38</v>
      </c>
      <c r="N62" s="70" t="s">
        <v>33</v>
      </c>
      <c r="O62" s="71">
        <v>6</v>
      </c>
      <c r="P62" s="72">
        <v>15</v>
      </c>
      <c r="Q62" s="73">
        <v>0.5</v>
      </c>
      <c r="R62" s="74">
        <f>PRODUCT(O62:Q62)</f>
        <v>45</v>
      </c>
      <c r="S62" s="75" t="str">
        <f>IF(R62&gt;400,"Insustentável (risco extremo)", IF(R62&gt;200,"Significativo (risco muito alto)", IF(R62&gt;70,"Significativo (alto risco)", IF(R62&gt;21,"Significativo (risco médio)", "Insignificante"))))</f>
        <v>Significativo (risco médio)</v>
      </c>
      <c r="T62" s="67" t="s">
        <v>311</v>
      </c>
      <c r="U62" s="67" t="s">
        <v>312</v>
      </c>
      <c r="V62" s="67" t="s">
        <v>313</v>
      </c>
      <c r="W62" s="76">
        <v>6</v>
      </c>
      <c r="X62" s="72">
        <v>15</v>
      </c>
      <c r="Y62" s="73">
        <v>0.2</v>
      </c>
      <c r="Z62" s="77">
        <f>PRODUCT(W62:Y62)</f>
        <v>18</v>
      </c>
      <c r="AA62" s="75" t="str">
        <f>IF(Z62&gt;400,"Insustentável (risco extremo)", IF(Z62&gt;200,"Significativo (risco muito alto)", IF(Z62&gt;70,"Significativo (alto risco)", IF(Z62&gt;21,"Significativo (risco médio)", "Insignificante"))))</f>
        <v>Insignificante</v>
      </c>
      <c r="AB62" s="67" t="s">
        <v>38</v>
      </c>
    </row>
    <row r="63" spans="1:28" s="54" customFormat="1" ht="382.5" x14ac:dyDescent="1.1000000000000001">
      <c r="A63" s="50">
        <v>79</v>
      </c>
      <c r="B63" s="78" t="s">
        <v>26</v>
      </c>
      <c r="C63" s="67" t="s">
        <v>101</v>
      </c>
      <c r="D63" s="67" t="s">
        <v>28</v>
      </c>
      <c r="E63" s="67" t="s">
        <v>157</v>
      </c>
      <c r="F63" s="67" t="s">
        <v>137</v>
      </c>
      <c r="G63" s="67" t="s">
        <v>80</v>
      </c>
      <c r="H63" s="69" t="s">
        <v>30</v>
      </c>
      <c r="I63" s="69" t="s">
        <v>31</v>
      </c>
      <c r="J63" s="69" t="s">
        <v>32</v>
      </c>
      <c r="K63" s="69" t="s">
        <v>32</v>
      </c>
      <c r="L63" s="69" t="s">
        <v>33</v>
      </c>
      <c r="M63" s="69" t="s">
        <v>34</v>
      </c>
      <c r="N63" s="70" t="s">
        <v>43</v>
      </c>
      <c r="O63" s="71">
        <v>2</v>
      </c>
      <c r="P63" s="72">
        <v>3</v>
      </c>
      <c r="Q63" s="73">
        <v>1</v>
      </c>
      <c r="R63" s="74">
        <f>PRODUCT(O63:Q63)</f>
        <v>6</v>
      </c>
      <c r="S63" s="75" t="str">
        <f>IF(R63&gt;400,"Insustentável (risco extremo)", IF(R63&gt;200,"Significativo (risco muito alto)", IF(R63&gt;70,"Significativo (alto risco)", IF(R63&gt;21,"Significativo (risco médio)", "Insignificante"))))</f>
        <v>Insignificante</v>
      </c>
      <c r="T63" s="67" t="s">
        <v>387</v>
      </c>
      <c r="U63" s="67" t="s">
        <v>272</v>
      </c>
      <c r="V63" s="67" t="s">
        <v>273</v>
      </c>
      <c r="W63" s="76">
        <v>2</v>
      </c>
      <c r="X63" s="72">
        <v>3</v>
      </c>
      <c r="Y63" s="73">
        <v>0.5</v>
      </c>
      <c r="Z63" s="77">
        <f>PRODUCT(W63:Y63)</f>
        <v>3</v>
      </c>
      <c r="AA63" s="75" t="str">
        <f>IF(Z63&gt;400,"Insustentável (risco extremo)", IF(Z63&gt;200,"Significativo (risco muito alto)", IF(Z63&gt;70,"Significativo (alto risco)", IF(Z63&gt;21,"Significativo (risco médio)", "Insignificante"))))</f>
        <v>Insignificante</v>
      </c>
      <c r="AB63" s="67" t="s">
        <v>46</v>
      </c>
    </row>
    <row r="64" spans="1:28" s="54" customFormat="1" ht="382.5" x14ac:dyDescent="1.1000000000000001">
      <c r="A64" s="50"/>
      <c r="B64" s="78" t="s">
        <v>26</v>
      </c>
      <c r="C64" s="67" t="s">
        <v>360</v>
      </c>
      <c r="D64" s="67" t="s">
        <v>28</v>
      </c>
      <c r="E64" s="67" t="s">
        <v>361</v>
      </c>
      <c r="F64" s="67" t="s">
        <v>343</v>
      </c>
      <c r="G64" s="67" t="s">
        <v>69</v>
      </c>
      <c r="H64" s="69" t="s">
        <v>37</v>
      </c>
      <c r="I64" s="69" t="s">
        <v>31</v>
      </c>
      <c r="J64" s="69" t="s">
        <v>32</v>
      </c>
      <c r="K64" s="69" t="s">
        <v>32</v>
      </c>
      <c r="L64" s="69" t="s">
        <v>33</v>
      </c>
      <c r="M64" s="69" t="s">
        <v>34</v>
      </c>
      <c r="N64" s="70" t="s">
        <v>33</v>
      </c>
      <c r="O64" s="71">
        <v>6</v>
      </c>
      <c r="P64" s="72">
        <v>3</v>
      </c>
      <c r="Q64" s="73">
        <v>0.5</v>
      </c>
      <c r="R64" s="74">
        <f>PRODUCT(O64:Q64)</f>
        <v>9</v>
      </c>
      <c r="S64" s="75" t="str">
        <f>IF(R64&gt;400,"Insustentável (risco extremo)", IF(R64&gt;200,"Significativo (risco muito alto)", IF(R64&gt;70,"Significativo (alto risco)", IF(R64&gt;21,"Significativo (risco médio)", "Insignificante"))))</f>
        <v>Insignificante</v>
      </c>
      <c r="T64" s="67" t="s">
        <v>271</v>
      </c>
      <c r="U64" s="67" t="s">
        <v>272</v>
      </c>
      <c r="V64" s="67" t="s">
        <v>273</v>
      </c>
      <c r="W64" s="76">
        <v>6</v>
      </c>
      <c r="X64" s="72">
        <v>3</v>
      </c>
      <c r="Y64" s="73">
        <v>0.1</v>
      </c>
      <c r="Z64" s="77">
        <f>PRODUCT(W64:Y64)</f>
        <v>1.8</v>
      </c>
      <c r="AA64" s="75" t="str">
        <f>IF(Z64&gt;400,"Insustentável (risco extremo)", IF(Z64&gt;200,"Significativo (risco muito alto)", IF(Z64&gt;70,"Significativo (alto risco)", IF(Z64&gt;21,"Significativo (risco médio)", "Insignificante"))))</f>
        <v>Insignificante</v>
      </c>
      <c r="AB64" s="67" t="s">
        <v>46</v>
      </c>
    </row>
    <row r="65" spans="1:28" s="54" customFormat="1" ht="382.5" x14ac:dyDescent="1.1000000000000001">
      <c r="A65" s="50">
        <v>80</v>
      </c>
      <c r="B65" s="78" t="s">
        <v>26</v>
      </c>
      <c r="C65" s="67" t="s">
        <v>360</v>
      </c>
      <c r="D65" s="67" t="s">
        <v>28</v>
      </c>
      <c r="E65" s="67" t="s">
        <v>362</v>
      </c>
      <c r="F65" s="79" t="s">
        <v>65</v>
      </c>
      <c r="G65" s="67" t="s">
        <v>69</v>
      </c>
      <c r="H65" s="69" t="s">
        <v>37</v>
      </c>
      <c r="I65" s="69" t="s">
        <v>31</v>
      </c>
      <c r="J65" s="69" t="s">
        <v>32</v>
      </c>
      <c r="K65" s="69" t="s">
        <v>32</v>
      </c>
      <c r="L65" s="69" t="s">
        <v>33</v>
      </c>
      <c r="M65" s="69" t="s">
        <v>34</v>
      </c>
      <c r="N65" s="70" t="s">
        <v>33</v>
      </c>
      <c r="O65" s="71">
        <v>6</v>
      </c>
      <c r="P65" s="72">
        <v>3</v>
      </c>
      <c r="Q65" s="73">
        <v>0.5</v>
      </c>
      <c r="R65" s="74">
        <f>PRODUCT(O65:Q65)</f>
        <v>9</v>
      </c>
      <c r="S65" s="75" t="str">
        <f>IF(R65&gt;400,"Insustentável (risco extremo)", IF(R65&gt;200,"Significativo (risco muito alto)", IF(R65&gt;70,"Significativo (alto risco)", IF(R65&gt;21,"Significativo (risco médio)", "Insignificante"))))</f>
        <v>Insignificante</v>
      </c>
      <c r="T65" s="67" t="s">
        <v>387</v>
      </c>
      <c r="U65" s="67" t="s">
        <v>272</v>
      </c>
      <c r="V65" s="67" t="s">
        <v>273</v>
      </c>
      <c r="W65" s="76">
        <v>6</v>
      </c>
      <c r="X65" s="72">
        <v>3</v>
      </c>
      <c r="Y65" s="73">
        <v>0.1</v>
      </c>
      <c r="Z65" s="77">
        <f>PRODUCT(W65:Y65)</f>
        <v>1.8</v>
      </c>
      <c r="AA65" s="75" t="str">
        <f>IF(Z65&gt;400,"Insustentável (risco extremo)", IF(Z65&gt;200,"Significativo (risco muito alto)", IF(Z65&gt;70,"Significativo (alto risco)", IF(Z65&gt;21,"Significativo (risco médio)", "Insignificante"))))</f>
        <v>Insignificante</v>
      </c>
      <c r="AB65" s="67" t="s">
        <v>46</v>
      </c>
    </row>
    <row r="66" spans="1:28" s="54" customFormat="1" ht="382.5" x14ac:dyDescent="1.1000000000000001">
      <c r="A66" s="50">
        <v>81</v>
      </c>
      <c r="B66" s="78" t="s">
        <v>26</v>
      </c>
      <c r="C66" s="67" t="s">
        <v>360</v>
      </c>
      <c r="D66" s="67" t="s">
        <v>28</v>
      </c>
      <c r="E66" s="67" t="s">
        <v>363</v>
      </c>
      <c r="F66" s="79" t="s">
        <v>71</v>
      </c>
      <c r="G66" s="67" t="s">
        <v>69</v>
      </c>
      <c r="H66" s="69" t="s">
        <v>37</v>
      </c>
      <c r="I66" s="69" t="s">
        <v>31</v>
      </c>
      <c r="J66" s="69" t="s">
        <v>32</v>
      </c>
      <c r="K66" s="69" t="s">
        <v>32</v>
      </c>
      <c r="L66" s="69" t="s">
        <v>33</v>
      </c>
      <c r="M66" s="69" t="s">
        <v>34</v>
      </c>
      <c r="N66" s="70" t="s">
        <v>33</v>
      </c>
      <c r="O66" s="71">
        <v>6</v>
      </c>
      <c r="P66" s="72">
        <v>3</v>
      </c>
      <c r="Q66" s="73">
        <v>0.5</v>
      </c>
      <c r="R66" s="74">
        <f>PRODUCT(O66:Q66)</f>
        <v>9</v>
      </c>
      <c r="S66" s="75" t="str">
        <f>IF(R66&gt;400,"Insustentável (risco extremo)", IF(R66&gt;200,"Significativo (risco muito alto)", IF(R66&gt;70,"Significativo (alto risco)", IF(R66&gt;21,"Significativo (risco médio)", "Insignificante"))))</f>
        <v>Insignificante</v>
      </c>
      <c r="T66" s="67" t="s">
        <v>387</v>
      </c>
      <c r="U66" s="67" t="s">
        <v>278</v>
      </c>
      <c r="V66" s="67" t="s">
        <v>279</v>
      </c>
      <c r="W66" s="76">
        <v>6</v>
      </c>
      <c r="X66" s="72">
        <v>3</v>
      </c>
      <c r="Y66" s="73">
        <v>0.1</v>
      </c>
      <c r="Z66" s="77">
        <f>PRODUCT(W66:Y66)</f>
        <v>1.8</v>
      </c>
      <c r="AA66" s="75" t="str">
        <f>IF(Z66&gt;400,"Insustentável (risco extremo)", IF(Z66&gt;200,"Significativo (risco muito alto)", IF(Z66&gt;70,"Significativo (alto risco)", IF(Z66&gt;21,"Significativo (risco médio)", "Insignificante"))))</f>
        <v>Insignificante</v>
      </c>
      <c r="AB66" s="67" t="s">
        <v>46</v>
      </c>
    </row>
    <row r="67" spans="1:28" s="54" customFormat="1" ht="409.5" x14ac:dyDescent="1.1000000000000001">
      <c r="A67" s="50">
        <v>82</v>
      </c>
      <c r="B67" s="78" t="s">
        <v>26</v>
      </c>
      <c r="C67" s="67" t="s">
        <v>360</v>
      </c>
      <c r="D67" s="67" t="s">
        <v>28</v>
      </c>
      <c r="E67" s="67" t="s">
        <v>364</v>
      </c>
      <c r="F67" s="79" t="s">
        <v>365</v>
      </c>
      <c r="G67" s="67" t="s">
        <v>69</v>
      </c>
      <c r="H67" s="69" t="s">
        <v>37</v>
      </c>
      <c r="I67" s="69" t="s">
        <v>31</v>
      </c>
      <c r="J67" s="69" t="s">
        <v>32</v>
      </c>
      <c r="K67" s="69" t="s">
        <v>32</v>
      </c>
      <c r="L67" s="69" t="s">
        <v>33</v>
      </c>
      <c r="M67" s="69" t="s">
        <v>34</v>
      </c>
      <c r="N67" s="70" t="s">
        <v>33</v>
      </c>
      <c r="O67" s="71">
        <v>2</v>
      </c>
      <c r="P67" s="72">
        <v>3</v>
      </c>
      <c r="Q67" s="73">
        <v>0.5</v>
      </c>
      <c r="R67" s="74">
        <f>PRODUCT(O67:Q67)</f>
        <v>3</v>
      </c>
      <c r="S67" s="75" t="str">
        <f>IF(R67&gt;400,"Insustentável (risco extremo)", IF(R67&gt;200,"Significativo (risco muito alto)", IF(R67&gt;70,"Significativo (alto risco)", IF(R67&gt;21,"Significativo (risco médio)", "Insignificante"))))</f>
        <v>Insignificante</v>
      </c>
      <c r="T67" s="67" t="s">
        <v>366</v>
      </c>
      <c r="U67" s="67" t="s">
        <v>272</v>
      </c>
      <c r="V67" s="67" t="s">
        <v>273</v>
      </c>
      <c r="W67" s="76">
        <v>2</v>
      </c>
      <c r="X67" s="72">
        <v>3</v>
      </c>
      <c r="Y67" s="73">
        <v>0.1</v>
      </c>
      <c r="Z67" s="77">
        <f>PRODUCT(W67:Y67)</f>
        <v>0.60000000000000009</v>
      </c>
      <c r="AA67" s="75" t="str">
        <f>IF(Z67&gt;400,"Insustentável (risco extremo)", IF(Z67&gt;200,"Significativo (risco muito alto)", IF(Z67&gt;70,"Significativo (alto risco)", IF(Z67&gt;21,"Significativo (risco médio)", "Insignificante"))))</f>
        <v>Insignificante</v>
      </c>
      <c r="AB67" s="67" t="s">
        <v>46</v>
      </c>
    </row>
    <row r="68" spans="1:28" s="54" customFormat="1" ht="382.5" x14ac:dyDescent="1.1000000000000001">
      <c r="A68" s="50">
        <v>85</v>
      </c>
      <c r="B68" s="78" t="s">
        <v>26</v>
      </c>
      <c r="C68" s="67" t="s">
        <v>123</v>
      </c>
      <c r="D68" s="67" t="s">
        <v>28</v>
      </c>
      <c r="E68" s="67" t="s">
        <v>367</v>
      </c>
      <c r="F68" s="67" t="s">
        <v>107</v>
      </c>
      <c r="G68" s="67" t="s">
        <v>193</v>
      </c>
      <c r="H68" s="69" t="s">
        <v>37</v>
      </c>
      <c r="I68" s="69" t="s">
        <v>31</v>
      </c>
      <c r="J68" s="69" t="s">
        <v>32</v>
      </c>
      <c r="K68" s="69" t="s">
        <v>32</v>
      </c>
      <c r="L68" s="69" t="s">
        <v>33</v>
      </c>
      <c r="M68" s="69" t="s">
        <v>34</v>
      </c>
      <c r="N68" s="70" t="s">
        <v>35</v>
      </c>
      <c r="O68" s="71">
        <v>6</v>
      </c>
      <c r="P68" s="72">
        <v>3</v>
      </c>
      <c r="Q68" s="73">
        <v>0.1</v>
      </c>
      <c r="R68" s="74">
        <f>PRODUCT(O68:Q68)</f>
        <v>1.8</v>
      </c>
      <c r="S68" s="75" t="str">
        <f>IF(R68&gt;400,"Insustentável (risco extremo)", IF(R68&gt;200,"Significativo (risco muito alto)", IF(R68&gt;70,"Significativo (alto risco)", IF(R68&gt;21,"Significativo (risco médio)", "Insignificante"))))</f>
        <v>Insignificante</v>
      </c>
      <c r="T68" s="67" t="s">
        <v>293</v>
      </c>
      <c r="U68" s="67" t="s">
        <v>294</v>
      </c>
      <c r="V68" s="67" t="s">
        <v>295</v>
      </c>
      <c r="W68" s="76">
        <v>6</v>
      </c>
      <c r="X68" s="72">
        <v>3</v>
      </c>
      <c r="Y68" s="73">
        <v>0.1</v>
      </c>
      <c r="Z68" s="77">
        <f>PRODUCT(W68:Y68)</f>
        <v>1.8</v>
      </c>
      <c r="AA68" s="75" t="str">
        <f>IF(Z68&gt;400,"Insustentável (risco extremo)", IF(Z68&gt;200,"Significativo (risco muito alto)", IF(Z68&gt;70,"Significativo (alto risco)", IF(Z68&gt;21,"Significativo (risco médio)", "Insignificante"))))</f>
        <v>Insignificante</v>
      </c>
      <c r="AB68" s="67" t="s">
        <v>38</v>
      </c>
    </row>
    <row r="69" spans="1:28" s="54" customFormat="1" ht="382.5" x14ac:dyDescent="1.1000000000000001">
      <c r="A69" s="50">
        <v>87</v>
      </c>
      <c r="B69" s="78" t="s">
        <v>124</v>
      </c>
      <c r="C69" s="67" t="s">
        <v>123</v>
      </c>
      <c r="D69" s="67" t="s">
        <v>28</v>
      </c>
      <c r="E69" s="79" t="s">
        <v>368</v>
      </c>
      <c r="F69" s="67" t="s">
        <v>99</v>
      </c>
      <c r="G69" s="67" t="s">
        <v>90</v>
      </c>
      <c r="H69" s="69" t="s">
        <v>37</v>
      </c>
      <c r="I69" s="69" t="s">
        <v>31</v>
      </c>
      <c r="J69" s="69" t="s">
        <v>32</v>
      </c>
      <c r="K69" s="69" t="s">
        <v>32</v>
      </c>
      <c r="L69" s="69" t="s">
        <v>33</v>
      </c>
      <c r="M69" s="69" t="s">
        <v>34</v>
      </c>
      <c r="N69" s="70" t="s">
        <v>33</v>
      </c>
      <c r="O69" s="71">
        <v>6</v>
      </c>
      <c r="P69" s="72">
        <v>1</v>
      </c>
      <c r="Q69" s="73">
        <v>0.5</v>
      </c>
      <c r="R69" s="74">
        <f>PRODUCT(O69:Q69)</f>
        <v>3</v>
      </c>
      <c r="S69" s="75" t="str">
        <f>IF(R69&gt;400,"Insustentável (risco extremo)", IF(R69&gt;200,"Significativo (risco muito alto)", IF(R69&gt;70,"Significativo (alto risco)", IF(R69&gt;21,"Significativo (risco médio)", "Insignificante"))))</f>
        <v>Insignificante</v>
      </c>
      <c r="T69" s="67" t="s">
        <v>302</v>
      </c>
      <c r="U69" s="67" t="s">
        <v>303</v>
      </c>
      <c r="V69" s="67" t="s">
        <v>304</v>
      </c>
      <c r="W69" s="76">
        <v>6</v>
      </c>
      <c r="X69" s="72">
        <v>1</v>
      </c>
      <c r="Y69" s="73">
        <v>0.2</v>
      </c>
      <c r="Z69" s="77">
        <f>PRODUCT(W69:Y69)</f>
        <v>1.2000000000000002</v>
      </c>
      <c r="AA69" s="75" t="str">
        <f>IF(Z69&gt;400,"Insustentável (risco extremo)", IF(Z69&gt;200,"Significativo (risco muito alto)", IF(Z69&gt;70,"Significativo (alto risco)", IF(Z69&gt;21,"Significativo (risco médio)", "Insignificante"))))</f>
        <v>Insignificante</v>
      </c>
      <c r="AB69" s="67" t="s">
        <v>331</v>
      </c>
    </row>
    <row r="70" spans="1:28" s="54" customFormat="1" ht="382.5" x14ac:dyDescent="1.1000000000000001">
      <c r="A70" s="50">
        <v>88</v>
      </c>
      <c r="B70" s="78" t="s">
        <v>124</v>
      </c>
      <c r="C70" s="67" t="s">
        <v>123</v>
      </c>
      <c r="D70" s="67" t="s">
        <v>28</v>
      </c>
      <c r="E70" s="79" t="s">
        <v>368</v>
      </c>
      <c r="F70" s="92" t="s">
        <v>54</v>
      </c>
      <c r="G70" s="67" t="s">
        <v>90</v>
      </c>
      <c r="H70" s="69" t="s">
        <v>37</v>
      </c>
      <c r="I70" s="69" t="s">
        <v>31</v>
      </c>
      <c r="J70" s="69" t="s">
        <v>32</v>
      </c>
      <c r="K70" s="69" t="s">
        <v>32</v>
      </c>
      <c r="L70" s="69" t="s">
        <v>33</v>
      </c>
      <c r="M70" s="69" t="s">
        <v>34</v>
      </c>
      <c r="N70" s="70" t="s">
        <v>33</v>
      </c>
      <c r="O70" s="71">
        <v>6</v>
      </c>
      <c r="P70" s="72">
        <v>1</v>
      </c>
      <c r="Q70" s="73">
        <v>0.5</v>
      </c>
      <c r="R70" s="74">
        <f>PRODUCT(O70:Q70)</f>
        <v>3</v>
      </c>
      <c r="S70" s="75" t="str">
        <f>IF(R70&gt;400,"Insustentável (risco extremo)", IF(R70&gt;200,"Significativo (risco muito alto)", IF(R70&gt;70,"Significativo (alto risco)", IF(R70&gt;21,"Significativo (risco médio)", "Insignificante"))))</f>
        <v>Insignificante</v>
      </c>
      <c r="T70" s="67" t="s">
        <v>283</v>
      </c>
      <c r="U70" s="67" t="s">
        <v>284</v>
      </c>
      <c r="V70" s="67" t="s">
        <v>285</v>
      </c>
      <c r="W70" s="76">
        <v>6</v>
      </c>
      <c r="X70" s="72">
        <v>1</v>
      </c>
      <c r="Y70" s="73">
        <v>0.2</v>
      </c>
      <c r="Z70" s="77">
        <f>PRODUCT(W70:Y70)</f>
        <v>1.2000000000000002</v>
      </c>
      <c r="AA70" s="75" t="str">
        <f>IF(Z70&gt;400,"Insustentável (risco extremo)", IF(Z70&gt;200,"Significativo (risco muito alto)", IF(Z70&gt;70,"Significativo (alto risco)", IF(Z70&gt;21,"Significativo (risco médio)", "Insignificante"))))</f>
        <v>Insignificante</v>
      </c>
      <c r="AB70" s="67" t="s">
        <v>332</v>
      </c>
    </row>
    <row r="71" spans="1:28" s="54" customFormat="1" ht="382.5" x14ac:dyDescent="1.1000000000000001">
      <c r="A71" s="50">
        <v>89</v>
      </c>
      <c r="B71" s="78" t="s">
        <v>124</v>
      </c>
      <c r="C71" s="67" t="s">
        <v>123</v>
      </c>
      <c r="D71" s="67" t="s">
        <v>28</v>
      </c>
      <c r="E71" s="79" t="s">
        <v>368</v>
      </c>
      <c r="F71" s="92" t="s">
        <v>107</v>
      </c>
      <c r="G71" s="67" t="s">
        <v>193</v>
      </c>
      <c r="H71" s="69" t="s">
        <v>37</v>
      </c>
      <c r="I71" s="69" t="s">
        <v>31</v>
      </c>
      <c r="J71" s="69" t="s">
        <v>32</v>
      </c>
      <c r="K71" s="69" t="s">
        <v>32</v>
      </c>
      <c r="L71" s="69" t="s">
        <v>33</v>
      </c>
      <c r="M71" s="69" t="s">
        <v>30</v>
      </c>
      <c r="N71" s="70" t="s">
        <v>43</v>
      </c>
      <c r="O71" s="71">
        <v>6</v>
      </c>
      <c r="P71" s="72">
        <v>3</v>
      </c>
      <c r="Q71" s="73">
        <v>0.2</v>
      </c>
      <c r="R71" s="74">
        <f>PRODUCT(O71:Q71)</f>
        <v>3.6</v>
      </c>
      <c r="S71" s="75" t="str">
        <f>IF(R71&gt;400,"Insustentável (risco extremo)", IF(R71&gt;200,"Significativo (risco muito alto)", IF(R71&gt;70,"Significativo (alto risco)", IF(R71&gt;21,"Significativo (risco médio)", "Insignificante"))))</f>
        <v>Insignificante</v>
      </c>
      <c r="T71" s="67" t="s">
        <v>293</v>
      </c>
      <c r="U71" s="67" t="s">
        <v>294</v>
      </c>
      <c r="V71" s="67" t="s">
        <v>295</v>
      </c>
      <c r="W71" s="76">
        <v>6</v>
      </c>
      <c r="X71" s="72">
        <v>3</v>
      </c>
      <c r="Y71" s="73">
        <v>0.2</v>
      </c>
      <c r="Z71" s="77">
        <f>PRODUCT(W71:Y71)</f>
        <v>3.6</v>
      </c>
      <c r="AA71" s="75" t="str">
        <f>IF(Z71&gt;400,"Insustentável (risco extremo)", IF(Z71&gt;200,"Significativo (risco muito alto)", IF(Z71&gt;70,"Significativo (alto risco)", IF(Z71&gt;21,"Significativo (risco médio)", "Insignificante"))))</f>
        <v>Insignificante</v>
      </c>
      <c r="AB71" s="67" t="s">
        <v>38</v>
      </c>
    </row>
    <row r="72" spans="1:28" s="54" customFormat="1" ht="382.5" x14ac:dyDescent="1.1000000000000001">
      <c r="A72" s="50">
        <v>90</v>
      </c>
      <c r="B72" s="78" t="s">
        <v>124</v>
      </c>
      <c r="C72" s="67" t="s">
        <v>123</v>
      </c>
      <c r="D72" s="67" t="s">
        <v>28</v>
      </c>
      <c r="E72" s="79" t="s">
        <v>125</v>
      </c>
      <c r="F72" s="92" t="s">
        <v>99</v>
      </c>
      <c r="G72" s="67" t="s">
        <v>90</v>
      </c>
      <c r="H72" s="69" t="s">
        <v>37</v>
      </c>
      <c r="I72" s="69" t="s">
        <v>31</v>
      </c>
      <c r="J72" s="69" t="s">
        <v>32</v>
      </c>
      <c r="K72" s="69" t="s">
        <v>32</v>
      </c>
      <c r="L72" s="69" t="s">
        <v>33</v>
      </c>
      <c r="M72" s="69" t="s">
        <v>34</v>
      </c>
      <c r="N72" s="70" t="s">
        <v>33</v>
      </c>
      <c r="O72" s="71">
        <v>6</v>
      </c>
      <c r="P72" s="72">
        <v>1</v>
      </c>
      <c r="Q72" s="73">
        <v>0.5</v>
      </c>
      <c r="R72" s="74">
        <f>PRODUCT(O72:Q72)</f>
        <v>3</v>
      </c>
      <c r="S72" s="75" t="str">
        <f>IF(R72&gt;400,"Insustentável (risco extremo)", IF(R72&gt;200,"Significativo (risco muito alto)", IF(R72&gt;70,"Significativo (alto risco)", IF(R72&gt;21,"Significativo (risco médio)", "Insignificante"))))</f>
        <v>Insignificante</v>
      </c>
      <c r="T72" s="67" t="s">
        <v>302</v>
      </c>
      <c r="U72" s="67" t="s">
        <v>303</v>
      </c>
      <c r="V72" s="67" t="s">
        <v>304</v>
      </c>
      <c r="W72" s="76">
        <v>6</v>
      </c>
      <c r="X72" s="72">
        <v>1</v>
      </c>
      <c r="Y72" s="73">
        <v>0.2</v>
      </c>
      <c r="Z72" s="77">
        <f>PRODUCT(W72:Y72)</f>
        <v>1.2000000000000002</v>
      </c>
      <c r="AA72" s="75" t="str">
        <f>IF(Z72&gt;400,"Insustentável (risco extremo)", IF(Z72&gt;200,"Significativo (risco muito alto)", IF(Z72&gt;70,"Significativo (alto risco)", IF(Z72&gt;21,"Significativo (risco médio)", "Insignificante"))))</f>
        <v>Insignificante</v>
      </c>
      <c r="AB72" s="67" t="s">
        <v>331</v>
      </c>
    </row>
    <row r="73" spans="1:28" s="54" customFormat="1" ht="382.5" x14ac:dyDescent="1.1000000000000001">
      <c r="A73" s="50">
        <v>91</v>
      </c>
      <c r="B73" s="78" t="s">
        <v>124</v>
      </c>
      <c r="C73" s="67" t="s">
        <v>123</v>
      </c>
      <c r="D73" s="67" t="s">
        <v>28</v>
      </c>
      <c r="E73" s="79" t="s">
        <v>125</v>
      </c>
      <c r="F73" s="92" t="s">
        <v>94</v>
      </c>
      <c r="G73" s="67" t="s">
        <v>69</v>
      </c>
      <c r="H73" s="69" t="s">
        <v>37</v>
      </c>
      <c r="I73" s="69" t="s">
        <v>31</v>
      </c>
      <c r="J73" s="69" t="s">
        <v>32</v>
      </c>
      <c r="K73" s="69" t="s">
        <v>32</v>
      </c>
      <c r="L73" s="69" t="s">
        <v>33</v>
      </c>
      <c r="M73" s="69" t="s">
        <v>34</v>
      </c>
      <c r="N73" s="70" t="s">
        <v>35</v>
      </c>
      <c r="O73" s="71">
        <v>6</v>
      </c>
      <c r="P73" s="72">
        <v>3</v>
      </c>
      <c r="Q73" s="73">
        <v>0.5</v>
      </c>
      <c r="R73" s="74">
        <f>PRODUCT(O73:Q73)</f>
        <v>9</v>
      </c>
      <c r="S73" s="75" t="str">
        <f>IF(R73&gt;400,"Insustentável (risco extremo)", IF(R73&gt;200,"Significativo (risco muito alto)", IF(R73&gt;70,"Significativo (alto risco)", IF(R73&gt;21,"Significativo (risco médio)", "Insignificante"))))</f>
        <v>Insignificante</v>
      </c>
      <c r="T73" s="67" t="s">
        <v>289</v>
      </c>
      <c r="U73" s="80" t="s">
        <v>272</v>
      </c>
      <c r="V73" s="67" t="s">
        <v>273</v>
      </c>
      <c r="W73" s="76">
        <v>6</v>
      </c>
      <c r="X73" s="72">
        <v>3</v>
      </c>
      <c r="Y73" s="73">
        <v>0.1</v>
      </c>
      <c r="Z73" s="77">
        <f>PRODUCT(W73:Y73)</f>
        <v>1.8</v>
      </c>
      <c r="AA73" s="75" t="str">
        <f>IF(Z73&gt;400,"Insustentável (risco extremo)", IF(Z73&gt;200,"Significativo (risco muito alto)", IF(Z73&gt;70,"Significativo (alto risco)", IF(Z73&gt;21,"Significativo (risco médio)", "Insignificante"))))</f>
        <v>Insignificante</v>
      </c>
      <c r="AB73" s="67" t="s">
        <v>46</v>
      </c>
    </row>
    <row r="74" spans="1:28" s="54" customFormat="1" ht="382.5" x14ac:dyDescent="1.1000000000000001">
      <c r="A74" s="50">
        <v>93</v>
      </c>
      <c r="B74" s="78" t="s">
        <v>124</v>
      </c>
      <c r="C74" s="67" t="s">
        <v>123</v>
      </c>
      <c r="D74" s="67" t="s">
        <v>28</v>
      </c>
      <c r="E74" s="79" t="s">
        <v>125</v>
      </c>
      <c r="F74" s="92" t="s">
        <v>106</v>
      </c>
      <c r="G74" s="67" t="s">
        <v>80</v>
      </c>
      <c r="H74" s="69" t="s">
        <v>37</v>
      </c>
      <c r="I74" s="69" t="s">
        <v>31</v>
      </c>
      <c r="J74" s="69" t="s">
        <v>32</v>
      </c>
      <c r="K74" s="69" t="s">
        <v>32</v>
      </c>
      <c r="L74" s="69" t="s">
        <v>33</v>
      </c>
      <c r="M74" s="69" t="s">
        <v>38</v>
      </c>
      <c r="N74" s="70" t="s">
        <v>35</v>
      </c>
      <c r="O74" s="71">
        <v>2</v>
      </c>
      <c r="P74" s="72">
        <v>3</v>
      </c>
      <c r="Q74" s="73">
        <v>0.2</v>
      </c>
      <c r="R74" s="74">
        <f>PRODUCT(O74:Q74)</f>
        <v>1.2000000000000002</v>
      </c>
      <c r="S74" s="75" t="str">
        <f>IF(R74&gt;400,"Insustentável (risco extremo)", IF(R74&gt;200,"Significativo (risco muito alto)", IF(R74&gt;70,"Significativo (alto risco)", IF(R74&gt;21,"Significativo (risco médio)", "Insignificante"))))</f>
        <v>Insignificante</v>
      </c>
      <c r="T74" s="67" t="s">
        <v>299</v>
      </c>
      <c r="U74" s="67" t="s">
        <v>300</v>
      </c>
      <c r="V74" s="67" t="s">
        <v>301</v>
      </c>
      <c r="W74" s="76">
        <v>2</v>
      </c>
      <c r="X74" s="72">
        <v>3</v>
      </c>
      <c r="Y74" s="73">
        <v>0.2</v>
      </c>
      <c r="Z74" s="77">
        <f>PRODUCT(W74:Y74)</f>
        <v>1.2000000000000002</v>
      </c>
      <c r="AA74" s="75" t="str">
        <f>IF(Z74&gt;400,"Insustentável (risco extremo)", IF(Z74&gt;200,"Significativo (risco muito alto)", IF(Z74&gt;70,"Significativo (alto risco)", IF(Z74&gt;21,"Significativo (risco médio)", "Insignificante"))))</f>
        <v>Insignificante</v>
      </c>
      <c r="AB74" s="67" t="s">
        <v>38</v>
      </c>
    </row>
    <row r="75" spans="1:28" s="54" customFormat="1" ht="409.5" x14ac:dyDescent="1.1000000000000001">
      <c r="A75" s="50">
        <v>94</v>
      </c>
      <c r="B75" s="78" t="s">
        <v>124</v>
      </c>
      <c r="C75" s="67" t="s">
        <v>123</v>
      </c>
      <c r="D75" s="67" t="s">
        <v>28</v>
      </c>
      <c r="E75" s="79" t="s">
        <v>369</v>
      </c>
      <c r="F75" s="92" t="s">
        <v>137</v>
      </c>
      <c r="G75" s="67" t="s">
        <v>80</v>
      </c>
      <c r="H75" s="69" t="s">
        <v>37</v>
      </c>
      <c r="I75" s="69" t="s">
        <v>31</v>
      </c>
      <c r="J75" s="69" t="s">
        <v>32</v>
      </c>
      <c r="K75" s="69" t="s">
        <v>32</v>
      </c>
      <c r="L75" s="69" t="s">
        <v>33</v>
      </c>
      <c r="M75" s="69" t="s">
        <v>38</v>
      </c>
      <c r="N75" s="70" t="s">
        <v>35</v>
      </c>
      <c r="O75" s="71">
        <v>6</v>
      </c>
      <c r="P75" s="72">
        <v>3</v>
      </c>
      <c r="Q75" s="73">
        <v>0.2</v>
      </c>
      <c r="R75" s="74">
        <f>PRODUCT(O75:Q75)</f>
        <v>3.6</v>
      </c>
      <c r="S75" s="75" t="str">
        <f>IF(R75&gt;400,"Insustentável (risco extremo)", IF(R75&gt;200,"Significativo (risco muito alto)", IF(R75&gt;70,"Significativo (alto risco)", IF(R75&gt;21,"Significativo (risco médio)", "Insignificante"))))</f>
        <v>Insignificante</v>
      </c>
      <c r="T75" s="67" t="s">
        <v>290</v>
      </c>
      <c r="U75" s="67" t="s">
        <v>291</v>
      </c>
      <c r="V75" s="67" t="s">
        <v>292</v>
      </c>
      <c r="W75" s="76">
        <v>6</v>
      </c>
      <c r="X75" s="72">
        <v>3</v>
      </c>
      <c r="Y75" s="73">
        <v>0.2</v>
      </c>
      <c r="Z75" s="77">
        <f>PRODUCT(W75:Y75)</f>
        <v>3.6</v>
      </c>
      <c r="AA75" s="75" t="str">
        <f>IF(Z75&gt;400,"Insustentável (risco extremo)", IF(Z75&gt;200,"Significativo (risco muito alto)", IF(Z75&gt;70,"Significativo (alto risco)", IF(Z75&gt;21,"Significativo (risco médio)", "Insignificante"))))</f>
        <v>Insignificante</v>
      </c>
      <c r="AB75" s="67" t="s">
        <v>46</v>
      </c>
    </row>
    <row r="76" spans="1:28" s="54" customFormat="1" ht="382.5" x14ac:dyDescent="1.1000000000000001">
      <c r="A76" s="50">
        <v>95</v>
      </c>
      <c r="B76" s="78" t="s">
        <v>26</v>
      </c>
      <c r="C76" s="67" t="s">
        <v>123</v>
      </c>
      <c r="D76" s="67" t="s">
        <v>28</v>
      </c>
      <c r="E76" s="79" t="s">
        <v>125</v>
      </c>
      <c r="F76" s="92" t="s">
        <v>107</v>
      </c>
      <c r="G76" s="67" t="s">
        <v>193</v>
      </c>
      <c r="H76" s="69" t="s">
        <v>37</v>
      </c>
      <c r="I76" s="69" t="s">
        <v>31</v>
      </c>
      <c r="J76" s="69" t="s">
        <v>32</v>
      </c>
      <c r="K76" s="69" t="s">
        <v>32</v>
      </c>
      <c r="L76" s="69" t="s">
        <v>33</v>
      </c>
      <c r="M76" s="69" t="s">
        <v>38</v>
      </c>
      <c r="N76" s="70" t="s">
        <v>43</v>
      </c>
      <c r="O76" s="71">
        <v>6</v>
      </c>
      <c r="P76" s="72">
        <v>3</v>
      </c>
      <c r="Q76" s="73">
        <v>0.2</v>
      </c>
      <c r="R76" s="74">
        <f>PRODUCT(O76:Q76)</f>
        <v>3.6</v>
      </c>
      <c r="S76" s="75" t="str">
        <f>IF(R76&gt;400,"Insustentável (risco extremo)", IF(R76&gt;200,"Significativo (risco muito alto)", IF(R76&gt;70,"Significativo (alto risco)", IF(R76&gt;21,"Significativo (risco médio)", "Insignificante"))))</f>
        <v>Insignificante</v>
      </c>
      <c r="T76" s="67" t="s">
        <v>293</v>
      </c>
      <c r="U76" s="67" t="s">
        <v>294</v>
      </c>
      <c r="V76" s="67" t="s">
        <v>295</v>
      </c>
      <c r="W76" s="76">
        <v>6</v>
      </c>
      <c r="X76" s="72">
        <v>3</v>
      </c>
      <c r="Y76" s="73">
        <v>0.2</v>
      </c>
      <c r="Z76" s="77">
        <f>PRODUCT(W76:Y76)</f>
        <v>3.6</v>
      </c>
      <c r="AA76" s="75" t="str">
        <f>IF(Z76&gt;400,"Insustentável (risco extremo)", IF(Z76&gt;200,"Significativo (risco muito alto)", IF(Z76&gt;70,"Significativo (alto risco)", IF(Z76&gt;21,"Significativo (risco médio)", "Insignificante"))))</f>
        <v>Insignificante</v>
      </c>
      <c r="AB76" s="67" t="s">
        <v>38</v>
      </c>
    </row>
    <row r="77" spans="1:28" s="54" customFormat="1" ht="382.5" x14ac:dyDescent="1.1000000000000001">
      <c r="A77" s="50">
        <v>97</v>
      </c>
      <c r="B77" s="78" t="s">
        <v>124</v>
      </c>
      <c r="C77" s="67" t="s">
        <v>123</v>
      </c>
      <c r="D77" s="67" t="s">
        <v>28</v>
      </c>
      <c r="E77" s="79" t="s">
        <v>127</v>
      </c>
      <c r="F77" s="92" t="s">
        <v>370</v>
      </c>
      <c r="G77" s="67" t="s">
        <v>69</v>
      </c>
      <c r="H77" s="69" t="s">
        <v>37</v>
      </c>
      <c r="I77" s="69" t="s">
        <v>31</v>
      </c>
      <c r="J77" s="69" t="s">
        <v>32</v>
      </c>
      <c r="K77" s="69" t="s">
        <v>32</v>
      </c>
      <c r="L77" s="69" t="s">
        <v>75</v>
      </c>
      <c r="M77" s="69" t="s">
        <v>34</v>
      </c>
      <c r="N77" s="70" t="s">
        <v>33</v>
      </c>
      <c r="O77" s="71">
        <v>6</v>
      </c>
      <c r="P77" s="72">
        <v>3</v>
      </c>
      <c r="Q77" s="73">
        <v>0.5</v>
      </c>
      <c r="R77" s="74">
        <f>PRODUCT(O77:Q77)</f>
        <v>9</v>
      </c>
      <c r="S77" s="75" t="str">
        <f>IF(R77&gt;400,"Insustentável (risco extremo)", IF(R77&gt;200,"Significativo (risco muito alto)", IF(R77&gt;70,"Significativo (alto risco)", IF(R77&gt;21,"Significativo (risco médio)", "Insignificante"))))</f>
        <v>Insignificante</v>
      </c>
      <c r="T77" s="67" t="s">
        <v>289</v>
      </c>
      <c r="U77" s="80" t="s">
        <v>272</v>
      </c>
      <c r="V77" s="67" t="s">
        <v>273</v>
      </c>
      <c r="W77" s="76">
        <v>6</v>
      </c>
      <c r="X77" s="72">
        <v>3</v>
      </c>
      <c r="Y77" s="73">
        <v>0.1</v>
      </c>
      <c r="Z77" s="77">
        <f>PRODUCT(W77:Y77)</f>
        <v>1.8</v>
      </c>
      <c r="AA77" s="75" t="str">
        <f>IF(Z77&gt;400,"Insustentável (risco extremo)", IF(Z77&gt;200,"Significativo (risco muito alto)", IF(Z77&gt;70,"Significativo (alto risco)", IF(Z77&gt;21,"Significativo (risco médio)", "Insignificante"))))</f>
        <v>Insignificante</v>
      </c>
      <c r="AB77" s="67" t="s">
        <v>46</v>
      </c>
    </row>
    <row r="78" spans="1:28" s="54" customFormat="1" ht="382.5" x14ac:dyDescent="1.1000000000000001">
      <c r="A78" s="50">
        <v>100</v>
      </c>
      <c r="B78" s="78" t="s">
        <v>26</v>
      </c>
      <c r="C78" s="67" t="s">
        <v>383</v>
      </c>
      <c r="D78" s="67" t="s">
        <v>28</v>
      </c>
      <c r="E78" s="67" t="s">
        <v>130</v>
      </c>
      <c r="F78" s="92" t="s">
        <v>42</v>
      </c>
      <c r="G78" s="67" t="s">
        <v>80</v>
      </c>
      <c r="H78" s="69" t="s">
        <v>30</v>
      </c>
      <c r="I78" s="69" t="s">
        <v>31</v>
      </c>
      <c r="J78" s="69" t="s">
        <v>32</v>
      </c>
      <c r="K78" s="69" t="s">
        <v>32</v>
      </c>
      <c r="L78" s="69" t="s">
        <v>33</v>
      </c>
      <c r="M78" s="69" t="s">
        <v>38</v>
      </c>
      <c r="N78" s="70" t="s">
        <v>43</v>
      </c>
      <c r="O78" s="71">
        <v>2</v>
      </c>
      <c r="P78" s="72">
        <v>40</v>
      </c>
      <c r="Q78" s="73">
        <v>1</v>
      </c>
      <c r="R78" s="74">
        <f>PRODUCT(O78:Q78)</f>
        <v>80</v>
      </c>
      <c r="S78" s="75" t="str">
        <f>IF(R78&gt;400,"Insustentável (risco extremo)", IF(R78&gt;200,"Significativo (risco muito alto)", IF(R78&gt;70,"Significativo (alto risco)", IF(R78&gt;21,"Significativo (risco médio)", "Insignificante"))))</f>
        <v>Significativo (alto risco)</v>
      </c>
      <c r="T78" s="67" t="s">
        <v>274</v>
      </c>
      <c r="U78" s="67" t="s">
        <v>275</v>
      </c>
      <c r="V78" s="67" t="s">
        <v>276</v>
      </c>
      <c r="W78" s="76">
        <v>2</v>
      </c>
      <c r="X78" s="72">
        <v>3</v>
      </c>
      <c r="Y78" s="73">
        <v>0.5</v>
      </c>
      <c r="Z78" s="77">
        <f>PRODUCT(W78:Y78)</f>
        <v>3</v>
      </c>
      <c r="AA78" s="75" t="str">
        <f>IF(Z78&gt;400,"Insustentável (risco extremo)", IF(Z78&gt;200,"Significativo (risco muito alto)", IF(Z78&gt;70,"Significativo (alto risco)", IF(Z78&gt;21,"Significativo (risco médio)", "Insignificante"))))</f>
        <v>Insignificante</v>
      </c>
      <c r="AB78" s="67" t="s">
        <v>38</v>
      </c>
    </row>
    <row r="79" spans="1:28" s="54" customFormat="1" ht="382.5" x14ac:dyDescent="1.1000000000000001">
      <c r="A79" s="50">
        <v>101</v>
      </c>
      <c r="B79" s="78" t="s">
        <v>131</v>
      </c>
      <c r="C79" s="67" t="s">
        <v>383</v>
      </c>
      <c r="D79" s="67" t="s">
        <v>28</v>
      </c>
      <c r="E79" s="67" t="s">
        <v>371</v>
      </c>
      <c r="F79" s="92" t="s">
        <v>117</v>
      </c>
      <c r="G79" s="67" t="s">
        <v>200</v>
      </c>
      <c r="H79" s="69" t="s">
        <v>37</v>
      </c>
      <c r="I79" s="69" t="s">
        <v>34</v>
      </c>
      <c r="J79" s="69" t="s">
        <v>32</v>
      </c>
      <c r="K79" s="69" t="s">
        <v>32</v>
      </c>
      <c r="L79" s="69" t="s">
        <v>33</v>
      </c>
      <c r="M79" s="69" t="s">
        <v>38</v>
      </c>
      <c r="N79" s="70" t="s">
        <v>33</v>
      </c>
      <c r="O79" s="71">
        <v>6</v>
      </c>
      <c r="P79" s="72">
        <v>3</v>
      </c>
      <c r="Q79" s="73">
        <v>1</v>
      </c>
      <c r="R79" s="74">
        <f>PRODUCT(O79:Q79)</f>
        <v>18</v>
      </c>
      <c r="S79" s="75" t="str">
        <f>IF(R79&gt;400,"Insustentável (risco extremo)", IF(R79&gt;200,"Significativo (risco muito alto)", IF(R79&gt;70,"Significativo (alto risco)", IF(R79&gt;21,"Significativo (risco médio)", "Insignificante"))))</f>
        <v>Insignificante</v>
      </c>
      <c r="T79" s="67" t="s">
        <v>308</v>
      </c>
      <c r="U79" s="67" t="s">
        <v>309</v>
      </c>
      <c r="V79" s="67" t="s">
        <v>310</v>
      </c>
      <c r="W79" s="76">
        <v>6</v>
      </c>
      <c r="X79" s="72">
        <v>3</v>
      </c>
      <c r="Y79" s="73">
        <v>0.5</v>
      </c>
      <c r="Z79" s="77">
        <f>PRODUCT(W79:Y79)</f>
        <v>9</v>
      </c>
      <c r="AA79" s="75" t="str">
        <f>IF(Z79&gt;400,"Insustentável (risco extremo)", IF(Z79&gt;200,"Significativo (risco muito alto)", IF(Z79&gt;70,"Significativo (alto risco)", IF(Z79&gt;21,"Significativo (risco médio)", "Insignificante"))))</f>
        <v>Insignificante</v>
      </c>
      <c r="AB79" s="67" t="s">
        <v>38</v>
      </c>
    </row>
    <row r="80" spans="1:28" s="54" customFormat="1" ht="409.5" x14ac:dyDescent="1.1000000000000001">
      <c r="A80" s="50">
        <v>102</v>
      </c>
      <c r="B80" s="78" t="s">
        <v>131</v>
      </c>
      <c r="C80" s="67" t="s">
        <v>383</v>
      </c>
      <c r="D80" s="67" t="s">
        <v>28</v>
      </c>
      <c r="E80" s="67" t="s">
        <v>371</v>
      </c>
      <c r="F80" s="79" t="s">
        <v>132</v>
      </c>
      <c r="G80" s="68" t="s">
        <v>80</v>
      </c>
      <c r="H80" s="69" t="s">
        <v>30</v>
      </c>
      <c r="I80" s="69" t="s">
        <v>34</v>
      </c>
      <c r="J80" s="69" t="s">
        <v>32</v>
      </c>
      <c r="K80" s="69" t="s">
        <v>32</v>
      </c>
      <c r="L80" s="69" t="s">
        <v>33</v>
      </c>
      <c r="M80" s="69" t="s">
        <v>30</v>
      </c>
      <c r="N80" s="70" t="s">
        <v>33</v>
      </c>
      <c r="O80" s="71">
        <v>6</v>
      </c>
      <c r="P80" s="72">
        <v>40</v>
      </c>
      <c r="Q80" s="73">
        <v>0.2</v>
      </c>
      <c r="R80" s="74">
        <f>PRODUCT(O80:Q80)</f>
        <v>48</v>
      </c>
      <c r="S80" s="75" t="str">
        <f>IF(R80&gt;400,"Insustentável (risco extremo)", IF(R80&gt;200,"Significativo (risco muito alto)", IF(R80&gt;70,"Significativo (alto risco)", IF(R80&gt;21,"Significativo (risco médio)", "Insignificante"))))</f>
        <v>Significativo (risco médio)</v>
      </c>
      <c r="T80" s="67" t="s">
        <v>311</v>
      </c>
      <c r="U80" s="67" t="s">
        <v>312</v>
      </c>
      <c r="V80" s="67" t="s">
        <v>313</v>
      </c>
      <c r="W80" s="76">
        <v>6</v>
      </c>
      <c r="X80" s="72">
        <v>3</v>
      </c>
      <c r="Y80" s="73">
        <v>0.2</v>
      </c>
      <c r="Z80" s="77">
        <f>PRODUCT(W80:Y80)</f>
        <v>3.6</v>
      </c>
      <c r="AA80" s="75" t="str">
        <f>IF(Z80&gt;400,"Insustentável (risco extremo)", IF(Z80&gt;200,"Significativo (risco muito alto)", IF(Z80&gt;70,"Significativo (alto risco)", IF(Z80&gt;21,"Significativo (risco médio)", "Insignificante"))))</f>
        <v>Insignificante</v>
      </c>
      <c r="AB80" s="67" t="s">
        <v>38</v>
      </c>
    </row>
    <row r="81" spans="1:28" s="54" customFormat="1" ht="382.5" x14ac:dyDescent="1.1000000000000001">
      <c r="A81" s="50">
        <v>103</v>
      </c>
      <c r="B81" s="78" t="s">
        <v>26</v>
      </c>
      <c r="C81" s="67" t="s">
        <v>383</v>
      </c>
      <c r="D81" s="67" t="s">
        <v>28</v>
      </c>
      <c r="E81" s="67" t="s">
        <v>133</v>
      </c>
      <c r="F81" s="79" t="s">
        <v>107</v>
      </c>
      <c r="G81" s="67" t="s">
        <v>80</v>
      </c>
      <c r="H81" s="69" t="s">
        <v>37</v>
      </c>
      <c r="I81" s="69" t="s">
        <v>34</v>
      </c>
      <c r="J81" s="69" t="s">
        <v>32</v>
      </c>
      <c r="K81" s="69" t="s">
        <v>32</v>
      </c>
      <c r="L81" s="69" t="s">
        <v>33</v>
      </c>
      <c r="M81" s="69" t="s">
        <v>38</v>
      </c>
      <c r="N81" s="70" t="s">
        <v>43</v>
      </c>
      <c r="O81" s="71">
        <v>6</v>
      </c>
      <c r="P81" s="72">
        <v>3</v>
      </c>
      <c r="Q81" s="73">
        <v>0.5</v>
      </c>
      <c r="R81" s="74">
        <f>PRODUCT(O81:Q81)</f>
        <v>9</v>
      </c>
      <c r="S81" s="75" t="str">
        <f>IF(R81&gt;400,"Insustentável (risco extremo)", IF(R81&gt;200,"Significativo (risco muito alto)", IF(R81&gt;70,"Significativo (alto risco)", IF(R81&gt;21,"Significativo (risco médio)", "Insignificante"))))</f>
        <v>Insignificante</v>
      </c>
      <c r="T81" s="67" t="s">
        <v>293</v>
      </c>
      <c r="U81" s="67" t="s">
        <v>294</v>
      </c>
      <c r="V81" s="67" t="s">
        <v>295</v>
      </c>
      <c r="W81" s="76">
        <v>6</v>
      </c>
      <c r="X81" s="72">
        <v>3</v>
      </c>
      <c r="Y81" s="73">
        <v>0.5</v>
      </c>
      <c r="Z81" s="77">
        <f>PRODUCT(W81:Y81)</f>
        <v>9</v>
      </c>
      <c r="AA81" s="75" t="str">
        <f>IF(Z81&gt;400,"Insustentável (risco extremo)", IF(Z81&gt;200,"Significativo (risco muito alto)", IF(Z81&gt;70,"Significativo (alto risco)", IF(Z81&gt;21,"Significativo (risco médio)", "Insignificante"))))</f>
        <v>Insignificante</v>
      </c>
      <c r="AB81" s="67" t="s">
        <v>38</v>
      </c>
    </row>
    <row r="82" spans="1:28" s="54" customFormat="1" ht="382.5" x14ac:dyDescent="1.1000000000000001">
      <c r="A82" s="50">
        <v>104</v>
      </c>
      <c r="B82" s="78" t="s">
        <v>26</v>
      </c>
      <c r="C82" s="67" t="s">
        <v>383</v>
      </c>
      <c r="D82" s="67" t="s">
        <v>28</v>
      </c>
      <c r="E82" s="67" t="s">
        <v>134</v>
      </c>
      <c r="F82" s="79" t="s">
        <v>42</v>
      </c>
      <c r="G82" s="67" t="s">
        <v>80</v>
      </c>
      <c r="H82" s="69" t="s">
        <v>30</v>
      </c>
      <c r="I82" s="69" t="s">
        <v>34</v>
      </c>
      <c r="J82" s="69" t="s">
        <v>32</v>
      </c>
      <c r="K82" s="69" t="s">
        <v>32</v>
      </c>
      <c r="L82" s="69" t="s">
        <v>33</v>
      </c>
      <c r="M82" s="69" t="s">
        <v>38</v>
      </c>
      <c r="N82" s="70" t="s">
        <v>43</v>
      </c>
      <c r="O82" s="71">
        <v>2</v>
      </c>
      <c r="P82" s="72">
        <v>7</v>
      </c>
      <c r="Q82" s="73">
        <v>1</v>
      </c>
      <c r="R82" s="74">
        <f>PRODUCT(O82:Q82)</f>
        <v>14</v>
      </c>
      <c r="S82" s="75" t="str">
        <f>IF(R82&gt;400,"Insustentável (risco extremo)", IF(R82&gt;200,"Significativo (risco muito alto)", IF(R82&gt;70,"Significativo (alto risco)", IF(R82&gt;21,"Significativo (risco médio)", "Insignificante"))))</f>
        <v>Insignificante</v>
      </c>
      <c r="T82" s="67" t="s">
        <v>274</v>
      </c>
      <c r="U82" s="67" t="s">
        <v>275</v>
      </c>
      <c r="V82" s="67" t="s">
        <v>276</v>
      </c>
      <c r="W82" s="76">
        <v>2</v>
      </c>
      <c r="X82" s="72">
        <v>3</v>
      </c>
      <c r="Y82" s="73">
        <v>0.5</v>
      </c>
      <c r="Z82" s="77">
        <f>PRODUCT(W82:Y82)</f>
        <v>3</v>
      </c>
      <c r="AA82" s="75" t="str">
        <f>IF(Z82&gt;400,"Insustentável (risco extremo)", IF(Z82&gt;200,"Significativo (risco muito alto)", IF(Z82&gt;70,"Significativo (alto risco)", IF(Z82&gt;21,"Significativo (risco médio)", "Insignificante"))))</f>
        <v>Insignificante</v>
      </c>
      <c r="AB82" s="67" t="s">
        <v>38</v>
      </c>
    </row>
    <row r="83" spans="1:28" s="54" customFormat="1" ht="382.5" x14ac:dyDescent="1.1000000000000001">
      <c r="A83" s="50">
        <v>105</v>
      </c>
      <c r="B83" s="78" t="s">
        <v>26</v>
      </c>
      <c r="C83" s="67" t="s">
        <v>383</v>
      </c>
      <c r="D83" s="67" t="s">
        <v>28</v>
      </c>
      <c r="E83" s="67" t="s">
        <v>135</v>
      </c>
      <c r="F83" s="79" t="s">
        <v>63</v>
      </c>
      <c r="G83" s="67" t="s">
        <v>80</v>
      </c>
      <c r="H83" s="69" t="s">
        <v>30</v>
      </c>
      <c r="I83" s="69" t="s">
        <v>34</v>
      </c>
      <c r="J83" s="69" t="s">
        <v>32</v>
      </c>
      <c r="K83" s="69" t="s">
        <v>32</v>
      </c>
      <c r="L83" s="69" t="s">
        <v>33</v>
      </c>
      <c r="M83" s="69" t="s">
        <v>38</v>
      </c>
      <c r="N83" s="70" t="s">
        <v>43</v>
      </c>
      <c r="O83" s="71">
        <v>2</v>
      </c>
      <c r="P83" s="72">
        <v>40</v>
      </c>
      <c r="Q83" s="73">
        <v>0.5</v>
      </c>
      <c r="R83" s="74">
        <f>PRODUCT(O83:Q83)</f>
        <v>40</v>
      </c>
      <c r="S83" s="75" t="str">
        <f>IF(R83&gt;400,"Insustentável (risco extremo)", IF(R83&gt;200,"Significativo (risco muito alto)", IF(R83&gt;70,"Significativo (alto risco)", IF(R83&gt;21,"Significativo (risco médio)", "Insignificante"))))</f>
        <v>Significativo (risco médio)</v>
      </c>
      <c r="T83" s="67" t="s">
        <v>286</v>
      </c>
      <c r="U83" s="67" t="s">
        <v>287</v>
      </c>
      <c r="V83" s="67" t="s">
        <v>288</v>
      </c>
      <c r="W83" s="76">
        <v>2</v>
      </c>
      <c r="X83" s="72">
        <v>3</v>
      </c>
      <c r="Y83" s="73">
        <v>0.5</v>
      </c>
      <c r="Z83" s="77">
        <f>PRODUCT(W83:Y83)</f>
        <v>3</v>
      </c>
      <c r="AA83" s="75" t="str">
        <f>IF(Z83&gt;400,"Insustentável (risco extremo)", IF(Z83&gt;200,"Significativo (risco muito alto)", IF(Z83&gt;70,"Significativo (alto risco)", IF(Z83&gt;21,"Significativo (risco médio)", "Insignificante"))))</f>
        <v>Insignificante</v>
      </c>
      <c r="AB83" s="67" t="s">
        <v>38</v>
      </c>
    </row>
    <row r="84" spans="1:28" s="54" customFormat="1" ht="409.5" x14ac:dyDescent="1.1000000000000001">
      <c r="A84" s="50">
        <v>106</v>
      </c>
      <c r="B84" s="78" t="s">
        <v>26</v>
      </c>
      <c r="C84" s="67" t="s">
        <v>383</v>
      </c>
      <c r="D84" s="67" t="s">
        <v>28</v>
      </c>
      <c r="E84" s="67" t="s">
        <v>136</v>
      </c>
      <c r="F84" s="67" t="s">
        <v>137</v>
      </c>
      <c r="G84" s="67" t="s">
        <v>80</v>
      </c>
      <c r="H84" s="69" t="s">
        <v>37</v>
      </c>
      <c r="I84" s="69" t="s">
        <v>34</v>
      </c>
      <c r="J84" s="69" t="s">
        <v>32</v>
      </c>
      <c r="K84" s="69" t="s">
        <v>32</v>
      </c>
      <c r="L84" s="69" t="s">
        <v>33</v>
      </c>
      <c r="M84" s="69" t="s">
        <v>38</v>
      </c>
      <c r="N84" s="70" t="s">
        <v>43</v>
      </c>
      <c r="O84" s="71">
        <v>2</v>
      </c>
      <c r="P84" s="72">
        <v>3</v>
      </c>
      <c r="Q84" s="73">
        <v>0.5</v>
      </c>
      <c r="R84" s="74">
        <f>PRODUCT(O84:Q84)</f>
        <v>3</v>
      </c>
      <c r="S84" s="75" t="str">
        <f>IF(R84&gt;400,"Insustentável (risco extremo)", IF(R84&gt;200,"Significativo (risco muito alto)", IF(R84&gt;70,"Significativo (alto risco)", IF(R84&gt;21,"Significativo (risco médio)", "Insignificante"))))</f>
        <v>Insignificante</v>
      </c>
      <c r="T84" s="67" t="s">
        <v>290</v>
      </c>
      <c r="U84" s="67" t="s">
        <v>291</v>
      </c>
      <c r="V84" s="67" t="s">
        <v>292</v>
      </c>
      <c r="W84" s="76">
        <v>2</v>
      </c>
      <c r="X84" s="72">
        <v>3</v>
      </c>
      <c r="Y84" s="73">
        <v>0.5</v>
      </c>
      <c r="Z84" s="77">
        <f>PRODUCT(W84:Y84)</f>
        <v>3</v>
      </c>
      <c r="AA84" s="75" t="str">
        <f>IF(Z84&gt;400,"Insustentável (risco extremo)", IF(Z84&gt;200,"Significativo (risco muito alto)", IF(Z84&gt;70,"Significativo (alto risco)", IF(Z84&gt;21,"Significativo (risco médio)", "Insignificante"))))</f>
        <v>Insignificante</v>
      </c>
      <c r="AB84" s="67" t="s">
        <v>38</v>
      </c>
    </row>
    <row r="85" spans="1:28" s="54" customFormat="1" ht="382.5" x14ac:dyDescent="1.1000000000000001">
      <c r="A85" s="50">
        <v>107</v>
      </c>
      <c r="B85" s="85" t="s">
        <v>26</v>
      </c>
      <c r="C85" s="67" t="s">
        <v>383</v>
      </c>
      <c r="D85" s="67" t="s">
        <v>28</v>
      </c>
      <c r="E85" s="67" t="s">
        <v>372</v>
      </c>
      <c r="F85" s="79" t="s">
        <v>373</v>
      </c>
      <c r="G85" s="67" t="s">
        <v>69</v>
      </c>
      <c r="H85" s="69" t="s">
        <v>37</v>
      </c>
      <c r="I85" s="69" t="s">
        <v>31</v>
      </c>
      <c r="J85" s="69" t="s">
        <v>32</v>
      </c>
      <c r="K85" s="69" t="s">
        <v>32</v>
      </c>
      <c r="L85" s="69" t="s">
        <v>33</v>
      </c>
      <c r="M85" s="69" t="s">
        <v>34</v>
      </c>
      <c r="N85" s="70" t="s">
        <v>33</v>
      </c>
      <c r="O85" s="71">
        <v>3</v>
      </c>
      <c r="P85" s="72">
        <v>3</v>
      </c>
      <c r="Q85" s="73">
        <v>0.5</v>
      </c>
      <c r="R85" s="74">
        <f>PRODUCT(O85:Q85)</f>
        <v>4.5</v>
      </c>
      <c r="S85" s="75" t="str">
        <f>IF(R85&gt;400,"Insustentável (risco extremo)", IF(R85&gt;200,"Significativo (risco muito alto)", IF(R85&gt;70,"Significativo (alto risco)", IF(R85&gt;21,"Significativo (risco médio)", "Insignificante"))))</f>
        <v>Insignificante</v>
      </c>
      <c r="T85" s="67" t="s">
        <v>387</v>
      </c>
      <c r="U85" s="67" t="s">
        <v>278</v>
      </c>
      <c r="V85" s="67" t="s">
        <v>279</v>
      </c>
      <c r="W85" s="76">
        <v>3</v>
      </c>
      <c r="X85" s="72">
        <v>3</v>
      </c>
      <c r="Y85" s="73">
        <v>0.2</v>
      </c>
      <c r="Z85" s="77">
        <f>PRODUCT(W85:Y85)</f>
        <v>1.8</v>
      </c>
      <c r="AA85" s="75" t="str">
        <f>IF(Z85&gt;400,"Insustentável (risco extremo)", IF(Z85&gt;200,"Significativo (risco muito alto)", IF(Z85&gt;70,"Significativo (alto risco)", IF(Z85&gt;21,"Significativo (risco médio)", "Insignificante"))))</f>
        <v>Insignificante</v>
      </c>
      <c r="AB85" s="67" t="s">
        <v>46</v>
      </c>
    </row>
    <row r="86" spans="1:28" s="54" customFormat="1" ht="382.5" x14ac:dyDescent="1.1000000000000001">
      <c r="A86" s="50">
        <v>108</v>
      </c>
      <c r="B86" s="85" t="s">
        <v>26</v>
      </c>
      <c r="C86" s="67" t="s">
        <v>383</v>
      </c>
      <c r="D86" s="67" t="s">
        <v>28</v>
      </c>
      <c r="E86" s="67" t="s">
        <v>375</v>
      </c>
      <c r="F86" s="146" t="s">
        <v>54</v>
      </c>
      <c r="G86" s="67" t="s">
        <v>90</v>
      </c>
      <c r="H86" s="69" t="s">
        <v>37</v>
      </c>
      <c r="I86" s="69" t="s">
        <v>31</v>
      </c>
      <c r="J86" s="69" t="s">
        <v>32</v>
      </c>
      <c r="K86" s="69" t="s">
        <v>32</v>
      </c>
      <c r="L86" s="69" t="s">
        <v>33</v>
      </c>
      <c r="M86" s="69" t="s">
        <v>34</v>
      </c>
      <c r="N86" s="70" t="s">
        <v>33</v>
      </c>
      <c r="O86" s="71">
        <v>10</v>
      </c>
      <c r="P86" s="72">
        <v>1</v>
      </c>
      <c r="Q86" s="73">
        <v>0.5</v>
      </c>
      <c r="R86" s="74">
        <f>PRODUCT(O86:Q86)</f>
        <v>5</v>
      </c>
      <c r="S86" s="75" t="str">
        <f>IF(R86&gt;400,"Insustentável (risco extremo)", IF(R86&gt;200,"Significativo (risco muito alto)", IF(R86&gt;70,"Significativo (alto risco)", IF(R86&gt;21,"Significativo (risco médio)", "Insignificante"))))</f>
        <v>Insignificante</v>
      </c>
      <c r="T86" s="67" t="s">
        <v>283</v>
      </c>
      <c r="U86" s="67" t="s">
        <v>284</v>
      </c>
      <c r="V86" s="67" t="s">
        <v>285</v>
      </c>
      <c r="W86" s="76">
        <v>10</v>
      </c>
      <c r="X86" s="72">
        <v>1</v>
      </c>
      <c r="Y86" s="73">
        <v>0.2</v>
      </c>
      <c r="Z86" s="77">
        <f>PRODUCT(W86:Y86)</f>
        <v>2</v>
      </c>
      <c r="AA86" s="75" t="str">
        <f>IF(Z86&gt;400,"Insustentável (risco extremo)", IF(Z86&gt;200,"Significativo (risco muito alto)", IF(Z86&gt;70,"Significativo (alto risco)", IF(Z86&gt;21,"Significativo (risco médio)", "Insignificante"))))</f>
        <v>Insignificante</v>
      </c>
      <c r="AB86" s="80" t="s">
        <v>332</v>
      </c>
    </row>
    <row r="87" spans="1:28" s="54" customFormat="1" ht="382.5" x14ac:dyDescent="1.1000000000000001">
      <c r="A87" s="50">
        <v>110</v>
      </c>
      <c r="B87" s="85" t="s">
        <v>26</v>
      </c>
      <c r="C87" s="67" t="s">
        <v>383</v>
      </c>
      <c r="D87" s="67" t="s">
        <v>28</v>
      </c>
      <c r="E87" s="67" t="s">
        <v>374</v>
      </c>
      <c r="F87" s="79" t="s">
        <v>365</v>
      </c>
      <c r="G87" s="67" t="s">
        <v>69</v>
      </c>
      <c r="H87" s="69" t="s">
        <v>37</v>
      </c>
      <c r="I87" s="69" t="s">
        <v>31</v>
      </c>
      <c r="J87" s="69" t="s">
        <v>32</v>
      </c>
      <c r="K87" s="69" t="s">
        <v>32</v>
      </c>
      <c r="L87" s="69" t="s">
        <v>33</v>
      </c>
      <c r="M87" s="69" t="s">
        <v>34</v>
      </c>
      <c r="N87" s="70" t="s">
        <v>33</v>
      </c>
      <c r="O87" s="71">
        <v>6</v>
      </c>
      <c r="P87" s="72">
        <v>3</v>
      </c>
      <c r="Q87" s="73">
        <v>0.5</v>
      </c>
      <c r="R87" s="74">
        <f>PRODUCT(O87:Q87)</f>
        <v>9</v>
      </c>
      <c r="S87" s="75" t="str">
        <f>IF(R87&gt;400,"Insustentável (risco extremo)", IF(R87&gt;200,"Significativo (risco muito alto)", IF(R87&gt;70,"Significativo (alto risco)", IF(R87&gt;21,"Significativo (risco médio)", "Insignificante"))))</f>
        <v>Insignificante</v>
      </c>
      <c r="T87" s="67" t="s">
        <v>387</v>
      </c>
      <c r="U87" s="67" t="s">
        <v>278</v>
      </c>
      <c r="V87" s="67" t="s">
        <v>273</v>
      </c>
      <c r="W87" s="76">
        <v>6</v>
      </c>
      <c r="X87" s="72">
        <v>3</v>
      </c>
      <c r="Y87" s="73">
        <v>0.2</v>
      </c>
      <c r="Z87" s="77">
        <f>PRODUCT(W87:Y87)</f>
        <v>3.6</v>
      </c>
      <c r="AA87" s="75" t="str">
        <f>IF(Z87&gt;400,"Insustentável (risco extremo)", IF(Z87&gt;200,"Significativo (risco muito alto)", IF(Z87&gt;70,"Significativo (alto risco)", IF(Z87&gt;21,"Significativo (risco médio)", "Insignificante"))))</f>
        <v>Insignificante</v>
      </c>
      <c r="AB87" s="67" t="s">
        <v>46</v>
      </c>
    </row>
    <row r="88" spans="1:28" s="54" customFormat="1" ht="306" x14ac:dyDescent="1.1000000000000001">
      <c r="A88" s="50">
        <v>111</v>
      </c>
      <c r="B88" s="78" t="s">
        <v>26</v>
      </c>
      <c r="C88" s="67" t="s">
        <v>383</v>
      </c>
      <c r="D88" s="67" t="s">
        <v>28</v>
      </c>
      <c r="E88" s="67" t="s">
        <v>162</v>
      </c>
      <c r="F88" s="79" t="s">
        <v>163</v>
      </c>
      <c r="G88" s="67" t="s">
        <v>90</v>
      </c>
      <c r="H88" s="69" t="s">
        <v>37</v>
      </c>
      <c r="I88" s="69" t="s">
        <v>31</v>
      </c>
      <c r="J88" s="69" t="s">
        <v>32</v>
      </c>
      <c r="K88" s="69" t="s">
        <v>32</v>
      </c>
      <c r="L88" s="69" t="s">
        <v>33</v>
      </c>
      <c r="M88" s="69" t="s">
        <v>38</v>
      </c>
      <c r="N88" s="70" t="s">
        <v>43</v>
      </c>
      <c r="O88" s="71">
        <v>10</v>
      </c>
      <c r="P88" s="72">
        <v>1</v>
      </c>
      <c r="Q88" s="73">
        <v>0.5</v>
      </c>
      <c r="R88" s="74">
        <f>PRODUCT(O88:Q88)</f>
        <v>5</v>
      </c>
      <c r="S88" s="75" t="str">
        <f>IF(R88&gt;400,"Insustentável (risco extremo)", IF(R88&gt;200,"Significativo (risco muito alto)", IF(R88&gt;70,"Significativo (alto risco)", IF(R88&gt;21,"Significativo (risco médio)", "Insignificante"))))</f>
        <v>Insignificante</v>
      </c>
      <c r="T88" s="67" t="s">
        <v>320</v>
      </c>
      <c r="U88" s="67" t="s">
        <v>321</v>
      </c>
      <c r="V88" s="67" t="s">
        <v>322</v>
      </c>
      <c r="W88" s="76">
        <v>10</v>
      </c>
      <c r="X88" s="72">
        <v>1</v>
      </c>
      <c r="Y88" s="73">
        <v>0.2</v>
      </c>
      <c r="Z88" s="77">
        <f>PRODUCT(W88:Y88)</f>
        <v>2</v>
      </c>
      <c r="AA88" s="75" t="str">
        <f>IF(Z88&gt;400,"Insustentável (risco extremo)", IF(Z88&gt;200,"Significativo (risco muito alto)", IF(Z88&gt;70,"Significativo (alto risco)", IF(Z88&gt;21,"Significativo (risco médio)", "Insignificante"))))</f>
        <v>Insignificante</v>
      </c>
      <c r="AB88" s="67" t="s">
        <v>38</v>
      </c>
    </row>
    <row r="89" spans="1:28" s="54" customFormat="1" ht="306" x14ac:dyDescent="1.1000000000000001">
      <c r="A89" s="50">
        <v>113</v>
      </c>
      <c r="B89" s="78" t="s">
        <v>26</v>
      </c>
      <c r="C89" s="67" t="s">
        <v>383</v>
      </c>
      <c r="D89" s="67" t="s">
        <v>28</v>
      </c>
      <c r="E89" s="67" t="s">
        <v>162</v>
      </c>
      <c r="F89" s="79" t="s">
        <v>384</v>
      </c>
      <c r="G89" s="67" t="s">
        <v>90</v>
      </c>
      <c r="H89" s="69" t="s">
        <v>37</v>
      </c>
      <c r="I89" s="69" t="s">
        <v>31</v>
      </c>
      <c r="J89" s="69" t="s">
        <v>32</v>
      </c>
      <c r="K89" s="69" t="s">
        <v>32</v>
      </c>
      <c r="L89" s="69" t="s">
        <v>33</v>
      </c>
      <c r="M89" s="69" t="s">
        <v>38</v>
      </c>
      <c r="N89" s="70" t="s">
        <v>43</v>
      </c>
      <c r="O89" s="71">
        <v>10</v>
      </c>
      <c r="P89" s="72">
        <v>1</v>
      </c>
      <c r="Q89" s="73">
        <v>0.5</v>
      </c>
      <c r="R89" s="74">
        <f>PRODUCT(O89:Q89)</f>
        <v>5</v>
      </c>
      <c r="S89" s="75" t="str">
        <f>IF(R89&gt;400,"Insustentável (risco extremo)", IF(R89&gt;200,"Significativo (risco muito alto)", IF(R89&gt;70,"Significativo (alto risco)", IF(R89&gt;21,"Significativo (risco médio)", "Insignificante"))))</f>
        <v>Insignificante</v>
      </c>
      <c r="T89" s="67" t="s">
        <v>385</v>
      </c>
      <c r="U89" s="67" t="s">
        <v>306</v>
      </c>
      <c r="V89" s="67" t="s">
        <v>307</v>
      </c>
      <c r="W89" s="76">
        <v>10</v>
      </c>
      <c r="X89" s="72">
        <v>1</v>
      </c>
      <c r="Y89" s="73">
        <v>0.2</v>
      </c>
      <c r="Z89" s="77">
        <f>PRODUCT(W89:Y89)</f>
        <v>2</v>
      </c>
      <c r="AA89" s="75" t="str">
        <f>IF(Z89&gt;400,"Insustentável (risco extremo)", IF(Z89&gt;200,"Significativo (risco muito alto)", IF(Z89&gt;70,"Significativo (alto risco)", IF(Z89&gt;21,"Significativo (risco médio)", "Insignificante"))))</f>
        <v>Insignificante</v>
      </c>
      <c r="AB89" s="67" t="s">
        <v>46</v>
      </c>
    </row>
    <row r="90" spans="1:28" s="54" customFormat="1" ht="306" x14ac:dyDescent="1.1000000000000001">
      <c r="A90" s="50">
        <v>114</v>
      </c>
      <c r="B90" s="78" t="s">
        <v>26</v>
      </c>
      <c r="C90" s="67" t="s">
        <v>383</v>
      </c>
      <c r="D90" s="67" t="s">
        <v>28</v>
      </c>
      <c r="E90" s="67" t="s">
        <v>162</v>
      </c>
      <c r="F90" s="79" t="s">
        <v>164</v>
      </c>
      <c r="G90" s="67" t="s">
        <v>90</v>
      </c>
      <c r="H90" s="69" t="s">
        <v>37</v>
      </c>
      <c r="I90" s="69" t="s">
        <v>31</v>
      </c>
      <c r="J90" s="69" t="s">
        <v>32</v>
      </c>
      <c r="K90" s="69" t="s">
        <v>32</v>
      </c>
      <c r="L90" s="69" t="s">
        <v>33</v>
      </c>
      <c r="M90" s="69" t="s">
        <v>38</v>
      </c>
      <c r="N90" s="70" t="s">
        <v>43</v>
      </c>
      <c r="O90" s="71">
        <v>10</v>
      </c>
      <c r="P90" s="72">
        <v>1</v>
      </c>
      <c r="Q90" s="73">
        <v>0.5</v>
      </c>
      <c r="R90" s="74">
        <f>PRODUCT(O90:Q90)</f>
        <v>5</v>
      </c>
      <c r="S90" s="75" t="str">
        <f>IF(R90&gt;400,"Insustentável (risco extremo)", IF(R90&gt;200,"Significativo (risco muito alto)", IF(R90&gt;70,"Significativo (alto risco)", IF(R90&gt;21,"Significativo (risco médio)", "Insignificante"))))</f>
        <v>Insignificante</v>
      </c>
      <c r="T90" s="67" t="s">
        <v>386</v>
      </c>
      <c r="U90" s="67" t="s">
        <v>306</v>
      </c>
      <c r="V90" s="67" t="s">
        <v>307</v>
      </c>
      <c r="W90" s="76">
        <v>10</v>
      </c>
      <c r="X90" s="72">
        <v>1</v>
      </c>
      <c r="Y90" s="73">
        <v>0.2</v>
      </c>
      <c r="Z90" s="77">
        <f>PRODUCT(W90:Y90)</f>
        <v>2</v>
      </c>
      <c r="AA90" s="75" t="str">
        <f>IF(Z90&gt;400,"Insustentável (risco extremo)", IF(Z90&gt;200,"Significativo (risco muito alto)", IF(Z90&gt;70,"Significativo (alto risco)", IF(Z90&gt;21,"Significativo (risco médio)", "Insignificante"))))</f>
        <v>Insignificante</v>
      </c>
      <c r="AB90" s="67" t="s">
        <v>46</v>
      </c>
    </row>
    <row r="91" spans="1:28" s="54" customFormat="1" ht="382.5" x14ac:dyDescent="1.1000000000000001">
      <c r="A91" s="50">
        <v>115</v>
      </c>
      <c r="B91" s="78" t="s">
        <v>26</v>
      </c>
      <c r="C91" s="67" t="s">
        <v>383</v>
      </c>
      <c r="D91" s="67" t="s">
        <v>28</v>
      </c>
      <c r="E91" s="67" t="s">
        <v>162</v>
      </c>
      <c r="F91" s="79" t="s">
        <v>365</v>
      </c>
      <c r="G91" s="67" t="s">
        <v>69</v>
      </c>
      <c r="H91" s="69" t="s">
        <v>37</v>
      </c>
      <c r="I91" s="69" t="s">
        <v>31</v>
      </c>
      <c r="J91" s="69" t="s">
        <v>32</v>
      </c>
      <c r="K91" s="69" t="s">
        <v>32</v>
      </c>
      <c r="L91" s="69" t="s">
        <v>33</v>
      </c>
      <c r="M91" s="69" t="s">
        <v>34</v>
      </c>
      <c r="N91" s="70" t="s">
        <v>33</v>
      </c>
      <c r="O91" s="71">
        <v>6</v>
      </c>
      <c r="P91" s="72">
        <v>3</v>
      </c>
      <c r="Q91" s="73">
        <v>0.5</v>
      </c>
      <c r="R91" s="74">
        <f>PRODUCT(O91:Q91)</f>
        <v>9</v>
      </c>
      <c r="S91" s="75" t="str">
        <f>IF(R91&gt;400,"Insustentável (risco extremo)", IF(R91&gt;200,"Significativo (risco muito alto)", IF(R91&gt;70,"Significativo (alto risco)", IF(R91&gt;21,"Significativo (risco médio)", "Insignificante"))))</f>
        <v>Insignificante</v>
      </c>
      <c r="T91" s="67" t="s">
        <v>387</v>
      </c>
      <c r="U91" s="67" t="s">
        <v>278</v>
      </c>
      <c r="V91" s="67" t="s">
        <v>273</v>
      </c>
      <c r="W91" s="76">
        <v>6</v>
      </c>
      <c r="X91" s="72">
        <v>3</v>
      </c>
      <c r="Y91" s="73">
        <v>0.2</v>
      </c>
      <c r="Z91" s="77">
        <f>PRODUCT(W91:Y91)</f>
        <v>3.6</v>
      </c>
      <c r="AA91" s="75" t="str">
        <f>IF(Z91&gt;400,"Insustentável (risco extremo)", IF(Z91&gt;200,"Significativo (risco muito alto)", IF(Z91&gt;70,"Significativo (alto risco)", IF(Z91&gt;21,"Significativo (risco médio)", "Insignificante"))))</f>
        <v>Insignificante</v>
      </c>
      <c r="AB91" s="67" t="s">
        <v>46</v>
      </c>
    </row>
    <row r="92" spans="1:28" s="54" customFormat="1" ht="382.5" x14ac:dyDescent="1.1000000000000001">
      <c r="A92" s="50">
        <v>116</v>
      </c>
      <c r="B92" s="78" t="s">
        <v>26</v>
      </c>
      <c r="C92" s="67" t="s">
        <v>140</v>
      </c>
      <c r="D92" s="67" t="s">
        <v>28</v>
      </c>
      <c r="E92" s="67" t="s">
        <v>376</v>
      </c>
      <c r="F92" s="79" t="s">
        <v>63</v>
      </c>
      <c r="G92" s="67" t="s">
        <v>80</v>
      </c>
      <c r="H92" s="69" t="s">
        <v>30</v>
      </c>
      <c r="I92" s="69" t="s">
        <v>31</v>
      </c>
      <c r="J92" s="69" t="s">
        <v>32</v>
      </c>
      <c r="K92" s="69" t="s">
        <v>32</v>
      </c>
      <c r="L92" s="69" t="s">
        <v>33</v>
      </c>
      <c r="M92" s="69" t="s">
        <v>38</v>
      </c>
      <c r="N92" s="70" t="s">
        <v>43</v>
      </c>
      <c r="O92" s="71">
        <v>2</v>
      </c>
      <c r="P92" s="72">
        <v>40</v>
      </c>
      <c r="Q92" s="73">
        <v>0.2</v>
      </c>
      <c r="R92" s="74">
        <f>PRODUCT(O92:Q92)</f>
        <v>16</v>
      </c>
      <c r="S92" s="75" t="str">
        <f>IF(R92&gt;400,"Insustentável (risco extremo)", IF(R92&gt;200,"Significativo (risco muito alto)", IF(R92&gt;70,"Significativo (alto risco)", IF(R92&gt;21,"Significativo (risco médio)", "Insignificante"))))</f>
        <v>Insignificante</v>
      </c>
      <c r="T92" s="67" t="s">
        <v>286</v>
      </c>
      <c r="U92" s="67" t="s">
        <v>287</v>
      </c>
      <c r="V92" s="67" t="s">
        <v>288</v>
      </c>
      <c r="W92" s="76">
        <v>2</v>
      </c>
      <c r="X92" s="72">
        <v>3</v>
      </c>
      <c r="Y92" s="73">
        <v>0.2</v>
      </c>
      <c r="Z92" s="77">
        <f>PRODUCT(W92:Y92)</f>
        <v>1.2000000000000002</v>
      </c>
      <c r="AA92" s="75" t="str">
        <f>IF(Z92&gt;400,"Insustentável (risco extremo)", IF(Z92&gt;200,"Significativo (risco muito alto)", IF(Z92&gt;70,"Significativo (alto risco)", IF(Z92&gt;21,"Significativo (risco médio)", "Insignificante"))))</f>
        <v>Insignificante</v>
      </c>
      <c r="AB92" s="67" t="s">
        <v>38</v>
      </c>
    </row>
    <row r="93" spans="1:28" s="54" customFormat="1" ht="409.5" x14ac:dyDescent="1.1000000000000001">
      <c r="A93" s="50">
        <v>119</v>
      </c>
      <c r="B93" s="78" t="s">
        <v>26</v>
      </c>
      <c r="C93" s="67" t="s">
        <v>140</v>
      </c>
      <c r="D93" s="67" t="s">
        <v>28</v>
      </c>
      <c r="E93" s="67" t="s">
        <v>141</v>
      </c>
      <c r="F93" s="79" t="s">
        <v>142</v>
      </c>
      <c r="G93" s="67" t="s">
        <v>80</v>
      </c>
      <c r="H93" s="69" t="s">
        <v>37</v>
      </c>
      <c r="I93" s="69" t="s">
        <v>31</v>
      </c>
      <c r="J93" s="69" t="s">
        <v>32</v>
      </c>
      <c r="K93" s="69" t="s">
        <v>32</v>
      </c>
      <c r="L93" s="69" t="s">
        <v>33</v>
      </c>
      <c r="M93" s="69" t="s">
        <v>38</v>
      </c>
      <c r="N93" s="70" t="s">
        <v>35</v>
      </c>
      <c r="O93" s="71">
        <v>2</v>
      </c>
      <c r="P93" s="72">
        <v>3</v>
      </c>
      <c r="Q93" s="73">
        <v>0.5</v>
      </c>
      <c r="R93" s="74">
        <f>PRODUCT(O93:Q93)</f>
        <v>3</v>
      </c>
      <c r="S93" s="75" t="str">
        <f>IF(R93&gt;400,"Insustentável (risco extremo)", IF(R93&gt;200,"Significativo (risco muito alto)", IF(R93&gt;70,"Significativo (alto risco)", IF(R93&gt;21,"Significativo (risco médio)", "Insignificante"))))</f>
        <v>Insignificante</v>
      </c>
      <c r="T93" s="67" t="s">
        <v>290</v>
      </c>
      <c r="U93" s="67" t="s">
        <v>291</v>
      </c>
      <c r="V93" s="67" t="s">
        <v>292</v>
      </c>
      <c r="W93" s="76">
        <v>2</v>
      </c>
      <c r="X93" s="72">
        <v>3</v>
      </c>
      <c r="Y93" s="73">
        <v>0.2</v>
      </c>
      <c r="Z93" s="77">
        <f>PRODUCT(W93:Y93)</f>
        <v>1.2000000000000002</v>
      </c>
      <c r="AA93" s="75" t="str">
        <f>IF(Z93&gt;400,"Insustentável (risco extremo)", IF(Z93&gt;200,"Significativo (risco muito alto)", IF(Z93&gt;70,"Significativo (alto risco)", IF(Z93&gt;21,"Significativo (risco médio)", "Insignificante"))))</f>
        <v>Insignificante</v>
      </c>
      <c r="AB93" s="67" t="s">
        <v>38</v>
      </c>
    </row>
    <row r="94" spans="1:28" s="54" customFormat="1" ht="382.5" x14ac:dyDescent="1.1000000000000001">
      <c r="A94" s="50">
        <v>121</v>
      </c>
      <c r="B94" s="78" t="s">
        <v>26</v>
      </c>
      <c r="C94" s="67" t="s">
        <v>140</v>
      </c>
      <c r="D94" s="67" t="s">
        <v>28</v>
      </c>
      <c r="E94" s="67" t="s">
        <v>143</v>
      </c>
      <c r="F94" s="79" t="s">
        <v>99</v>
      </c>
      <c r="G94" s="67" t="s">
        <v>90</v>
      </c>
      <c r="H94" s="69" t="s">
        <v>37</v>
      </c>
      <c r="I94" s="69" t="s">
        <v>31</v>
      </c>
      <c r="J94" s="69" t="s">
        <v>32</v>
      </c>
      <c r="K94" s="69" t="s">
        <v>32</v>
      </c>
      <c r="L94" s="69" t="s">
        <v>33</v>
      </c>
      <c r="M94" s="69" t="s">
        <v>34</v>
      </c>
      <c r="N94" s="70" t="s">
        <v>33</v>
      </c>
      <c r="O94" s="71">
        <v>3</v>
      </c>
      <c r="P94" s="72">
        <v>1</v>
      </c>
      <c r="Q94" s="73">
        <v>0.5</v>
      </c>
      <c r="R94" s="74">
        <f>PRODUCT(O94:Q94)</f>
        <v>1.5</v>
      </c>
      <c r="S94" s="75" t="str">
        <f>IF(R94&gt;400,"Insustentável (risco extremo)", IF(R94&gt;200,"Significativo (risco muito alto)", IF(R94&gt;70,"Significativo (alto risco)", IF(R94&gt;21,"Significativo (risco médio)", "Insignificante"))))</f>
        <v>Insignificante</v>
      </c>
      <c r="T94" s="67" t="s">
        <v>302</v>
      </c>
      <c r="U94" s="67" t="s">
        <v>303</v>
      </c>
      <c r="V94" s="67" t="s">
        <v>304</v>
      </c>
      <c r="W94" s="76">
        <v>3</v>
      </c>
      <c r="X94" s="72">
        <v>1</v>
      </c>
      <c r="Y94" s="73">
        <v>0.2</v>
      </c>
      <c r="Z94" s="77">
        <f>PRODUCT(W94:Y94)</f>
        <v>0.60000000000000009</v>
      </c>
      <c r="AA94" s="75" t="str">
        <f>IF(Z94&gt;400,"Insustentável (risco extremo)", IF(Z94&gt;200,"Significativo (risco muito alto)", IF(Z94&gt;70,"Significativo (alto risco)", IF(Z94&gt;21,"Significativo (risco médio)", "Insignificante"))))</f>
        <v>Insignificante</v>
      </c>
      <c r="AB94" s="67" t="s">
        <v>331</v>
      </c>
    </row>
    <row r="95" spans="1:28" s="54" customFormat="1" ht="409.5" x14ac:dyDescent="1.1000000000000001">
      <c r="A95" s="50">
        <v>122</v>
      </c>
      <c r="B95" s="78" t="s">
        <v>26</v>
      </c>
      <c r="C95" s="67" t="s">
        <v>140</v>
      </c>
      <c r="D95" s="67" t="s">
        <v>28</v>
      </c>
      <c r="E95" s="67" t="s">
        <v>144</v>
      </c>
      <c r="F95" s="79" t="s">
        <v>137</v>
      </c>
      <c r="G95" s="67" t="s">
        <v>80</v>
      </c>
      <c r="H95" s="69" t="s">
        <v>37</v>
      </c>
      <c r="I95" s="69" t="s">
        <v>31</v>
      </c>
      <c r="J95" s="69" t="s">
        <v>32</v>
      </c>
      <c r="K95" s="69" t="s">
        <v>32</v>
      </c>
      <c r="L95" s="69" t="s">
        <v>33</v>
      </c>
      <c r="M95" s="69" t="s">
        <v>38</v>
      </c>
      <c r="N95" s="70" t="s">
        <v>35</v>
      </c>
      <c r="O95" s="71">
        <v>2</v>
      </c>
      <c r="P95" s="72">
        <v>3</v>
      </c>
      <c r="Q95" s="73">
        <v>0.5</v>
      </c>
      <c r="R95" s="74">
        <f>PRODUCT(O95:Q95)</f>
        <v>3</v>
      </c>
      <c r="S95" s="75" t="str">
        <f>IF(R95&gt;400,"Insustentável (risco extremo)", IF(R95&gt;200,"Significativo (risco muito alto)", IF(R95&gt;70,"Significativo (alto risco)", IF(R95&gt;21,"Significativo (risco médio)", "Insignificante"))))</f>
        <v>Insignificante</v>
      </c>
      <c r="T95" s="67" t="s">
        <v>290</v>
      </c>
      <c r="U95" s="67" t="s">
        <v>291</v>
      </c>
      <c r="V95" s="67" t="s">
        <v>292</v>
      </c>
      <c r="W95" s="76">
        <v>2</v>
      </c>
      <c r="X95" s="72">
        <v>3</v>
      </c>
      <c r="Y95" s="73">
        <v>0.5</v>
      </c>
      <c r="Z95" s="77">
        <f>PRODUCT(W95:Y95)</f>
        <v>3</v>
      </c>
      <c r="AA95" s="75" t="str">
        <f>IF(Z95&gt;400,"Insustentável (risco extremo)", IF(Z95&gt;200,"Significativo (risco muito alto)", IF(Z95&gt;70,"Significativo (alto risco)", IF(Z95&gt;21,"Significativo (risco médio)", "Insignificante"))))</f>
        <v>Insignificante</v>
      </c>
      <c r="AB95" s="67" t="s">
        <v>38</v>
      </c>
    </row>
    <row r="96" spans="1:28" s="54" customFormat="1" ht="409.5" x14ac:dyDescent="1.1000000000000001">
      <c r="A96" s="50">
        <v>124</v>
      </c>
      <c r="B96" s="78" t="s">
        <v>26</v>
      </c>
      <c r="C96" s="67" t="s">
        <v>140</v>
      </c>
      <c r="D96" s="67" t="s">
        <v>28</v>
      </c>
      <c r="E96" s="67" t="s">
        <v>145</v>
      </c>
      <c r="F96" s="79" t="s">
        <v>29</v>
      </c>
      <c r="G96" s="67" t="s">
        <v>206</v>
      </c>
      <c r="H96" s="69" t="s">
        <v>30</v>
      </c>
      <c r="I96" s="69" t="s">
        <v>34</v>
      </c>
      <c r="J96" s="69" t="s">
        <v>32</v>
      </c>
      <c r="K96" s="69" t="s">
        <v>32</v>
      </c>
      <c r="L96" s="69" t="s">
        <v>33</v>
      </c>
      <c r="M96" s="69" t="s">
        <v>38</v>
      </c>
      <c r="N96" s="70" t="s">
        <v>33</v>
      </c>
      <c r="O96" s="71">
        <v>3</v>
      </c>
      <c r="P96" s="72">
        <v>40</v>
      </c>
      <c r="Q96" s="73">
        <v>1</v>
      </c>
      <c r="R96" s="74">
        <f>PRODUCT(O96:Q96)</f>
        <v>120</v>
      </c>
      <c r="S96" s="75" t="str">
        <f>IF(R96&gt;400,"Insustentável (risco extremo)", IF(R96&gt;200,"Significativo (risco muito alto)", IF(R96&gt;70,"Significativo (alto risco)", IF(R96&gt;21,"Significativo (risco médio)", "Insignificante"))))</f>
        <v>Significativo (alto risco)</v>
      </c>
      <c r="T96" s="67" t="s">
        <v>265</v>
      </c>
      <c r="U96" s="67" t="s">
        <v>266</v>
      </c>
      <c r="V96" s="67" t="s">
        <v>267</v>
      </c>
      <c r="W96" s="76">
        <v>3</v>
      </c>
      <c r="X96" s="72">
        <v>3</v>
      </c>
      <c r="Y96" s="73">
        <v>1</v>
      </c>
      <c r="Z96" s="77">
        <f>PRODUCT(W96:Y96)</f>
        <v>9</v>
      </c>
      <c r="AA96" s="75" t="str">
        <f>IF(Z96&gt;400,"Insustentável (risco extremo)", IF(Z96&gt;200,"Significativo (risco muito alto)", IF(Z96&gt;70,"Significativo (alto risco)", IF(Z96&gt;21,"Significativo (risco médio)", "Insignificante"))))</f>
        <v>Insignificante</v>
      </c>
      <c r="AB96" s="67" t="s">
        <v>38</v>
      </c>
    </row>
    <row r="97" spans="1:28" s="54" customFormat="1" ht="382.5" x14ac:dyDescent="1.1000000000000001">
      <c r="A97" s="50">
        <v>125</v>
      </c>
      <c r="B97" s="78" t="s">
        <v>26</v>
      </c>
      <c r="C97" s="67" t="s">
        <v>140</v>
      </c>
      <c r="D97" s="67" t="s">
        <v>28</v>
      </c>
      <c r="E97" s="67" t="s">
        <v>146</v>
      </c>
      <c r="F97" s="79" t="s">
        <v>117</v>
      </c>
      <c r="G97" s="67" t="s">
        <v>200</v>
      </c>
      <c r="H97" s="69" t="s">
        <v>37</v>
      </c>
      <c r="I97" s="69" t="s">
        <v>34</v>
      </c>
      <c r="J97" s="69" t="s">
        <v>32</v>
      </c>
      <c r="K97" s="69" t="s">
        <v>32</v>
      </c>
      <c r="L97" s="69" t="s">
        <v>33</v>
      </c>
      <c r="M97" s="69" t="s">
        <v>38</v>
      </c>
      <c r="N97" s="70" t="s">
        <v>43</v>
      </c>
      <c r="O97" s="71">
        <v>2</v>
      </c>
      <c r="P97" s="72">
        <v>7</v>
      </c>
      <c r="Q97" s="73">
        <v>0.2</v>
      </c>
      <c r="R97" s="74">
        <f>PRODUCT(O97:Q97)</f>
        <v>2.8000000000000003</v>
      </c>
      <c r="S97" s="75" t="str">
        <f>IF(R97&gt;400,"Insustentável (risco extremo)", IF(R97&gt;200,"Significativo (risco muito alto)", IF(R97&gt;70,"Significativo (alto risco)", IF(R97&gt;21,"Significativo (risco médio)", "Insignificante"))))</f>
        <v>Insignificante</v>
      </c>
      <c r="T97" s="67" t="s">
        <v>308</v>
      </c>
      <c r="U97" s="67" t="s">
        <v>309</v>
      </c>
      <c r="V97" s="67" t="s">
        <v>310</v>
      </c>
      <c r="W97" s="76">
        <v>2</v>
      </c>
      <c r="X97" s="72">
        <v>3</v>
      </c>
      <c r="Y97" s="73">
        <v>0.2</v>
      </c>
      <c r="Z97" s="77">
        <f>PRODUCT(W97:Y97)</f>
        <v>1.2000000000000002</v>
      </c>
      <c r="AA97" s="75" t="str">
        <f>IF(Z97&gt;400,"Insustentável (risco extremo)", IF(Z97&gt;200,"Significativo (risco muito alto)", IF(Z97&gt;70,"Significativo (alto risco)", IF(Z97&gt;21,"Significativo (risco médio)", "Insignificante"))))</f>
        <v>Insignificante</v>
      </c>
      <c r="AB97" s="67" t="s">
        <v>38</v>
      </c>
    </row>
    <row r="98" spans="1:28" s="54" customFormat="1" ht="382.5" x14ac:dyDescent="1.1000000000000001">
      <c r="A98" s="50">
        <v>126</v>
      </c>
      <c r="B98" s="85" t="s">
        <v>26</v>
      </c>
      <c r="C98" s="67" t="s">
        <v>140</v>
      </c>
      <c r="D98" s="67" t="s">
        <v>28</v>
      </c>
      <c r="E98" s="67" t="s">
        <v>147</v>
      </c>
      <c r="F98" s="79" t="s">
        <v>148</v>
      </c>
      <c r="G98" s="67" t="s">
        <v>90</v>
      </c>
      <c r="H98" s="69" t="s">
        <v>37</v>
      </c>
      <c r="I98" s="69" t="s">
        <v>59</v>
      </c>
      <c r="J98" s="69" t="s">
        <v>32</v>
      </c>
      <c r="K98" s="69" t="s">
        <v>32</v>
      </c>
      <c r="L98" s="69" t="s">
        <v>33</v>
      </c>
      <c r="M98" s="69" t="s">
        <v>38</v>
      </c>
      <c r="N98" s="70" t="s">
        <v>33</v>
      </c>
      <c r="O98" s="71">
        <v>10</v>
      </c>
      <c r="P98" s="72">
        <v>1</v>
      </c>
      <c r="Q98" s="73">
        <v>0.5</v>
      </c>
      <c r="R98" s="74">
        <f>PRODUCT(O98:Q98)</f>
        <v>5</v>
      </c>
      <c r="S98" s="75" t="str">
        <f>IF(R98&gt;400,"Insustentável (risco extremo)", IF(R98&gt;200,"Significativo (risco muito alto)", IF(R98&gt;70,"Significativo (alto risco)", IF(R98&gt;21,"Significativo (risco médio)", "Insignificante"))))</f>
        <v>Insignificante</v>
      </c>
      <c r="T98" s="67" t="s">
        <v>314</v>
      </c>
      <c r="U98" s="67" t="s">
        <v>315</v>
      </c>
      <c r="V98" s="67" t="s">
        <v>316</v>
      </c>
      <c r="W98" s="76">
        <v>10</v>
      </c>
      <c r="X98" s="72">
        <v>1</v>
      </c>
      <c r="Y98" s="73">
        <v>0.2</v>
      </c>
      <c r="Z98" s="77">
        <f>PRODUCT(W98:Y98)</f>
        <v>2</v>
      </c>
      <c r="AA98" s="75" t="str">
        <f>IF(Z98&gt;400,"Insustentável (risco extremo)", IF(Z98&gt;200,"Significativo (risco muito alto)", IF(Z98&gt;70,"Significativo (alto risco)", IF(Z98&gt;21,"Significativo (risco médio)", "Insignificante"))))</f>
        <v>Insignificante</v>
      </c>
      <c r="AB98" s="67" t="s">
        <v>38</v>
      </c>
    </row>
    <row r="99" spans="1:28" s="54" customFormat="1" ht="382.5" x14ac:dyDescent="1.1000000000000001">
      <c r="A99" s="50">
        <v>127</v>
      </c>
      <c r="B99" s="85" t="s">
        <v>26</v>
      </c>
      <c r="C99" s="67" t="s">
        <v>140</v>
      </c>
      <c r="D99" s="67" t="s">
        <v>28</v>
      </c>
      <c r="E99" s="67" t="s">
        <v>147</v>
      </c>
      <c r="F99" s="79" t="s">
        <v>149</v>
      </c>
      <c r="G99" s="67" t="s">
        <v>200</v>
      </c>
      <c r="H99" s="69" t="s">
        <v>32</v>
      </c>
      <c r="I99" s="69" t="s">
        <v>59</v>
      </c>
      <c r="J99" s="69" t="s">
        <v>32</v>
      </c>
      <c r="K99" s="69" t="s">
        <v>32</v>
      </c>
      <c r="L99" s="69" t="s">
        <v>33</v>
      </c>
      <c r="M99" s="69" t="s">
        <v>38</v>
      </c>
      <c r="N99" s="70" t="s">
        <v>35</v>
      </c>
      <c r="O99" s="71">
        <v>2</v>
      </c>
      <c r="P99" s="72">
        <v>7</v>
      </c>
      <c r="Q99" s="73">
        <v>1</v>
      </c>
      <c r="R99" s="74">
        <f>PRODUCT(O99:Q99)</f>
        <v>14</v>
      </c>
      <c r="S99" s="75" t="str">
        <f>IF(R99&gt;400,"Insustentável (risco extremo)", IF(R99&gt;200,"Significativo (risco muito alto)", IF(R99&gt;70,"Significativo (alto risco)", IF(R99&gt;21,"Significativo (risco médio)", "Insignificante"))))</f>
        <v>Insignificante</v>
      </c>
      <c r="T99" s="67" t="s">
        <v>317</v>
      </c>
      <c r="U99" s="67" t="s">
        <v>318</v>
      </c>
      <c r="V99" s="67" t="s">
        <v>319</v>
      </c>
      <c r="W99" s="76">
        <v>2</v>
      </c>
      <c r="X99" s="72">
        <v>3</v>
      </c>
      <c r="Y99" s="73">
        <v>0.5</v>
      </c>
      <c r="Z99" s="77">
        <f>PRODUCT(W99:Y99)</f>
        <v>3</v>
      </c>
      <c r="AA99" s="75" t="str">
        <f>IF(Z99&gt;400,"Insustentável (risco extremo)", IF(Z99&gt;200,"Significativo (risco muito alto)", IF(Z99&gt;70,"Significativo (alto risco)", IF(Z99&gt;21,"Significativo (risco médio)", "Insignificante"))))</f>
        <v>Insignificante</v>
      </c>
      <c r="AB99" s="67" t="s">
        <v>38</v>
      </c>
    </row>
    <row r="100" spans="1:28" s="54" customFormat="1" ht="382.5" x14ac:dyDescent="1.1000000000000001">
      <c r="A100" s="50">
        <v>128</v>
      </c>
      <c r="B100" s="85" t="s">
        <v>26</v>
      </c>
      <c r="C100" s="67" t="s">
        <v>140</v>
      </c>
      <c r="D100" s="67" t="s">
        <v>28</v>
      </c>
      <c r="E100" s="67" t="s">
        <v>147</v>
      </c>
      <c r="F100" s="79" t="s">
        <v>42</v>
      </c>
      <c r="G100" s="67" t="s">
        <v>80</v>
      </c>
      <c r="H100" s="69" t="s">
        <v>30</v>
      </c>
      <c r="I100" s="69" t="s">
        <v>59</v>
      </c>
      <c r="J100" s="69" t="s">
        <v>32</v>
      </c>
      <c r="K100" s="69" t="s">
        <v>32</v>
      </c>
      <c r="L100" s="69" t="s">
        <v>33</v>
      </c>
      <c r="M100" s="69" t="s">
        <v>38</v>
      </c>
      <c r="N100" s="70" t="s">
        <v>43</v>
      </c>
      <c r="O100" s="71">
        <v>2</v>
      </c>
      <c r="P100" s="72">
        <v>40</v>
      </c>
      <c r="Q100" s="73">
        <v>0.5</v>
      </c>
      <c r="R100" s="74">
        <f>PRODUCT(O100:Q100)</f>
        <v>40</v>
      </c>
      <c r="S100" s="75" t="str">
        <f>IF(R100&gt;400,"Insustentável (risco extremo)", IF(R100&gt;200,"Significativo (risco muito alto)", IF(R100&gt;70,"Significativo (alto risco)", IF(R100&gt;21,"Significativo (risco médio)", "Insignificante"))))</f>
        <v>Significativo (risco médio)</v>
      </c>
      <c r="T100" s="67" t="s">
        <v>274</v>
      </c>
      <c r="U100" s="67" t="s">
        <v>275</v>
      </c>
      <c r="V100" s="67" t="s">
        <v>276</v>
      </c>
      <c r="W100" s="76">
        <v>2</v>
      </c>
      <c r="X100" s="72">
        <v>3</v>
      </c>
      <c r="Y100" s="73">
        <v>0.5</v>
      </c>
      <c r="Z100" s="77">
        <f>PRODUCT(W100:Y100)</f>
        <v>3</v>
      </c>
      <c r="AA100" s="75" t="str">
        <f>IF(Z100&gt;400,"Insustentável (risco extremo)", IF(Z100&gt;200,"Significativo (risco muito alto)", IF(Z100&gt;70,"Significativo (alto risco)", IF(Z100&gt;21,"Significativo (risco médio)", "Insignificante"))))</f>
        <v>Insignificante</v>
      </c>
      <c r="AB100" s="67" t="s">
        <v>38</v>
      </c>
    </row>
    <row r="101" spans="1:28" s="54" customFormat="1" ht="382.5" x14ac:dyDescent="1.1000000000000001">
      <c r="A101" s="50">
        <v>131</v>
      </c>
      <c r="B101" s="85" t="s">
        <v>26</v>
      </c>
      <c r="C101" s="67" t="s">
        <v>140</v>
      </c>
      <c r="D101" s="67" t="s">
        <v>28</v>
      </c>
      <c r="E101" s="67" t="s">
        <v>150</v>
      </c>
      <c r="F101" s="79" t="s">
        <v>54</v>
      </c>
      <c r="G101" s="67" t="s">
        <v>90</v>
      </c>
      <c r="H101" s="69" t="s">
        <v>30</v>
      </c>
      <c r="I101" s="69" t="s">
        <v>31</v>
      </c>
      <c r="J101" s="69" t="s">
        <v>32</v>
      </c>
      <c r="K101" s="69" t="s">
        <v>32</v>
      </c>
      <c r="L101" s="69" t="s">
        <v>33</v>
      </c>
      <c r="M101" s="69" t="s">
        <v>38</v>
      </c>
      <c r="N101" s="70" t="s">
        <v>33</v>
      </c>
      <c r="O101" s="71">
        <v>1</v>
      </c>
      <c r="P101" s="72">
        <v>1</v>
      </c>
      <c r="Q101" s="73">
        <v>0.5</v>
      </c>
      <c r="R101" s="74">
        <f>PRODUCT(O101:Q101)</f>
        <v>0.5</v>
      </c>
      <c r="S101" s="75" t="str">
        <f>IF(R101&gt;400,"Insustentável (risco extremo)", IF(R101&gt;200,"Significativo (risco muito alto)", IF(R101&gt;70,"Significativo (alto risco)", IF(R101&gt;21,"Significativo (risco médio)", "Insignificante"))))</f>
        <v>Insignificante</v>
      </c>
      <c r="T101" s="67" t="s">
        <v>265</v>
      </c>
      <c r="U101" s="67" t="s">
        <v>266</v>
      </c>
      <c r="V101" s="67" t="s">
        <v>267</v>
      </c>
      <c r="W101" s="76">
        <v>1</v>
      </c>
      <c r="X101" s="72">
        <v>1</v>
      </c>
      <c r="Y101" s="73">
        <v>0.2</v>
      </c>
      <c r="Z101" s="77">
        <f>PRODUCT(W101:Y101)</f>
        <v>0.2</v>
      </c>
      <c r="AA101" s="75" t="str">
        <f>IF(Z101&gt;400,"Insustentável (risco extremo)", IF(Z101&gt;200,"Significativo (risco muito alto)", IF(Z101&gt;70,"Significativo (alto risco)", IF(Z101&gt;21,"Significativo (risco médio)", "Insignificante"))))</f>
        <v>Insignificante</v>
      </c>
      <c r="AB101" s="67" t="s">
        <v>38</v>
      </c>
    </row>
    <row r="102" spans="1:28" s="54" customFormat="1" ht="382.5" x14ac:dyDescent="1.1000000000000001">
      <c r="A102" s="50">
        <v>132</v>
      </c>
      <c r="B102" s="85" t="s">
        <v>26</v>
      </c>
      <c r="C102" s="67" t="s">
        <v>140</v>
      </c>
      <c r="D102" s="67" t="s">
        <v>28</v>
      </c>
      <c r="E102" s="67" t="s">
        <v>150</v>
      </c>
      <c r="F102" s="79" t="s">
        <v>42</v>
      </c>
      <c r="G102" s="67" t="s">
        <v>80</v>
      </c>
      <c r="H102" s="69" t="s">
        <v>30</v>
      </c>
      <c r="I102" s="69" t="s">
        <v>31</v>
      </c>
      <c r="J102" s="69" t="s">
        <v>32</v>
      </c>
      <c r="K102" s="69" t="s">
        <v>32</v>
      </c>
      <c r="L102" s="69" t="s">
        <v>33</v>
      </c>
      <c r="M102" s="69" t="s">
        <v>38</v>
      </c>
      <c r="N102" s="70" t="s">
        <v>43</v>
      </c>
      <c r="O102" s="71">
        <v>2</v>
      </c>
      <c r="P102" s="72">
        <v>40</v>
      </c>
      <c r="Q102" s="73">
        <v>0.2</v>
      </c>
      <c r="R102" s="74">
        <f>PRODUCT(O102:Q102)</f>
        <v>16</v>
      </c>
      <c r="S102" s="75" t="str">
        <f>IF(R102&gt;400,"Insustentável (risco extremo)", IF(R102&gt;200,"Significativo (risco muito alto)", IF(R102&gt;70,"Significativo (alto risco)", IF(R102&gt;21,"Significativo (risco médio)", "Insignificante"))))</f>
        <v>Insignificante</v>
      </c>
      <c r="T102" s="67" t="s">
        <v>274</v>
      </c>
      <c r="U102" s="67" t="s">
        <v>275</v>
      </c>
      <c r="V102" s="67" t="s">
        <v>276</v>
      </c>
      <c r="W102" s="76">
        <v>2</v>
      </c>
      <c r="X102" s="72">
        <v>3</v>
      </c>
      <c r="Y102" s="73">
        <v>0.2</v>
      </c>
      <c r="Z102" s="77">
        <f>PRODUCT(W102:Y102)</f>
        <v>1.2000000000000002</v>
      </c>
      <c r="AA102" s="75" t="str">
        <f>IF(Z102&gt;400,"Insustentável (risco extremo)", IF(Z102&gt;200,"Significativo (risco muito alto)", IF(Z102&gt;70,"Significativo (alto risco)", IF(Z102&gt;21,"Significativo (risco médio)", "Insignificante"))))</f>
        <v>Insignificante</v>
      </c>
      <c r="AB102" s="67" t="s">
        <v>38</v>
      </c>
    </row>
    <row r="103" spans="1:28" s="54" customFormat="1" ht="409.5" x14ac:dyDescent="1.1000000000000001">
      <c r="A103" s="50">
        <v>135</v>
      </c>
      <c r="B103" s="78" t="s">
        <v>26</v>
      </c>
      <c r="C103" s="67" t="s">
        <v>140</v>
      </c>
      <c r="D103" s="67" t="s">
        <v>28</v>
      </c>
      <c r="E103" s="67" t="s">
        <v>152</v>
      </c>
      <c r="F103" s="79" t="s">
        <v>365</v>
      </c>
      <c r="G103" s="67" t="s">
        <v>69</v>
      </c>
      <c r="H103" s="69" t="s">
        <v>37</v>
      </c>
      <c r="I103" s="69" t="s">
        <v>31</v>
      </c>
      <c r="J103" s="69" t="s">
        <v>32</v>
      </c>
      <c r="K103" s="69" t="s">
        <v>32</v>
      </c>
      <c r="L103" s="69" t="s">
        <v>33</v>
      </c>
      <c r="M103" s="69" t="s">
        <v>34</v>
      </c>
      <c r="N103" s="70" t="s">
        <v>43</v>
      </c>
      <c r="O103" s="71">
        <v>1</v>
      </c>
      <c r="P103" s="72">
        <v>3</v>
      </c>
      <c r="Q103" s="73">
        <v>0.5</v>
      </c>
      <c r="R103" s="74">
        <f>PRODUCT(O103:Q103)</f>
        <v>1.5</v>
      </c>
      <c r="S103" s="75" t="str">
        <f>IF(R103&gt;400,"Insustentável (risco extremo)", IF(R103&gt;200,"Significativo (risco muito alto)", IF(R103&gt;70,"Significativo (alto risco)", IF(R103&gt;21,"Significativo (risco médio)", "Insignificante"))))</f>
        <v>Insignificante</v>
      </c>
      <c r="T103" s="67" t="s">
        <v>290</v>
      </c>
      <c r="U103" s="67" t="s">
        <v>291</v>
      </c>
      <c r="V103" s="67" t="s">
        <v>273</v>
      </c>
      <c r="W103" s="76">
        <v>1</v>
      </c>
      <c r="X103" s="72">
        <v>3</v>
      </c>
      <c r="Y103" s="73">
        <v>0.2</v>
      </c>
      <c r="Z103" s="77">
        <f>PRODUCT(W103:Y103)</f>
        <v>0.60000000000000009</v>
      </c>
      <c r="AA103" s="75" t="str">
        <f>IF(Z103&gt;400,"Insustentável (risco extremo)", IF(Z103&gt;200,"Significativo (risco muito alto)", IF(Z103&gt;70,"Significativo (alto risco)", IF(Z103&gt;21,"Significativo (risco médio)", "Insignificante"))))</f>
        <v>Insignificante</v>
      </c>
      <c r="AB103" s="67" t="s">
        <v>46</v>
      </c>
    </row>
    <row r="104" spans="1:28" s="54" customFormat="1" ht="409.5" x14ac:dyDescent="1.1000000000000001">
      <c r="A104" s="50">
        <v>136</v>
      </c>
      <c r="B104" s="78" t="s">
        <v>26</v>
      </c>
      <c r="C104" s="67" t="s">
        <v>140</v>
      </c>
      <c r="D104" s="67" t="s">
        <v>28</v>
      </c>
      <c r="E104" s="79" t="s">
        <v>152</v>
      </c>
      <c r="F104" s="79" t="s">
        <v>137</v>
      </c>
      <c r="G104" s="67" t="s">
        <v>80</v>
      </c>
      <c r="H104" s="69" t="s">
        <v>37</v>
      </c>
      <c r="I104" s="69" t="s">
        <v>31</v>
      </c>
      <c r="J104" s="69" t="s">
        <v>32</v>
      </c>
      <c r="K104" s="69" t="s">
        <v>32</v>
      </c>
      <c r="L104" s="69" t="s">
        <v>33</v>
      </c>
      <c r="M104" s="69" t="s">
        <v>34</v>
      </c>
      <c r="N104" s="70" t="s">
        <v>35</v>
      </c>
      <c r="O104" s="71">
        <v>6</v>
      </c>
      <c r="P104" s="72">
        <v>3</v>
      </c>
      <c r="Q104" s="73">
        <v>0.5</v>
      </c>
      <c r="R104" s="74">
        <f>PRODUCT(O104:Q104)</f>
        <v>9</v>
      </c>
      <c r="S104" s="75" t="str">
        <f>IF(R104&gt;400,"Insustentável (risco extremo)", IF(R104&gt;200,"Significativo (risco muito alto)", IF(R104&gt;70,"Significativo (alto risco)", IF(R104&gt;21,"Significativo (risco médio)", "Insignificante"))))</f>
        <v>Insignificante</v>
      </c>
      <c r="T104" s="67" t="s">
        <v>290</v>
      </c>
      <c r="U104" s="67" t="s">
        <v>291</v>
      </c>
      <c r="V104" s="67" t="s">
        <v>292</v>
      </c>
      <c r="W104" s="76">
        <v>6</v>
      </c>
      <c r="X104" s="72">
        <v>3</v>
      </c>
      <c r="Y104" s="73">
        <v>0.2</v>
      </c>
      <c r="Z104" s="77">
        <f>PRODUCT(W104:Y104)</f>
        <v>3.6</v>
      </c>
      <c r="AA104" s="75" t="str">
        <f>IF(Z104&gt;400,"Insustentável (risco extremo)", IF(Z104&gt;200,"Significativo (risco muito alto)", IF(Z104&gt;70,"Significativo (alto risco)", IF(Z104&gt;21,"Significativo (risco médio)", "Insignificante"))))</f>
        <v>Insignificante</v>
      </c>
      <c r="AB104" s="67" t="s">
        <v>46</v>
      </c>
    </row>
    <row r="105" spans="1:28" s="54" customFormat="1" ht="409.5" x14ac:dyDescent="1.1000000000000001">
      <c r="A105" s="50">
        <v>137</v>
      </c>
      <c r="B105" s="86" t="s">
        <v>26</v>
      </c>
      <c r="C105" s="80" t="s">
        <v>140</v>
      </c>
      <c r="D105" s="67" t="s">
        <v>28</v>
      </c>
      <c r="E105" s="96" t="s">
        <v>199</v>
      </c>
      <c r="F105" s="96" t="s">
        <v>29</v>
      </c>
      <c r="G105" s="80" t="s">
        <v>206</v>
      </c>
      <c r="H105" s="69" t="s">
        <v>37</v>
      </c>
      <c r="I105" s="69" t="s">
        <v>31</v>
      </c>
      <c r="J105" s="69" t="s">
        <v>32</v>
      </c>
      <c r="K105" s="69" t="s">
        <v>32</v>
      </c>
      <c r="L105" s="69" t="s">
        <v>33</v>
      </c>
      <c r="M105" s="69" t="s">
        <v>34</v>
      </c>
      <c r="N105" s="70" t="s">
        <v>33</v>
      </c>
      <c r="O105" s="71">
        <v>6</v>
      </c>
      <c r="P105" s="72">
        <v>7</v>
      </c>
      <c r="Q105" s="73">
        <v>3</v>
      </c>
      <c r="R105" s="74">
        <f>PRODUCT(O105:Q105)</f>
        <v>126</v>
      </c>
      <c r="S105" s="75" t="str">
        <f>IF(R105&gt;400,"Insustentável (risco extremo)", IF(R105&gt;200,"Significativo (risco muito alto)", IF(R105&gt;70,"Significativo (alto risco)", IF(R105&gt;21,"Significativo (risco médio)", "Insignificante"))))</f>
        <v>Significativo (alto risco)</v>
      </c>
      <c r="T105" s="80" t="s">
        <v>377</v>
      </c>
      <c r="U105" s="80" t="s">
        <v>378</v>
      </c>
      <c r="V105" s="80" t="s">
        <v>379</v>
      </c>
      <c r="W105" s="83">
        <v>6</v>
      </c>
      <c r="X105" s="71">
        <v>3</v>
      </c>
      <c r="Y105" s="84">
        <v>1</v>
      </c>
      <c r="Z105" s="77">
        <f>PRODUCT(W105:Y105)</f>
        <v>18</v>
      </c>
      <c r="AA105" s="75" t="str">
        <f>IF(Z105&gt;400,"Insustentável (risco extremo)", IF(Z105&gt;200,"Significativo (risco muito alto)", IF(Z105&gt;70,"Significativo (alto risco)", IF(Z105&gt;21,"Significativo (risco médio)", "Insignificante"))))</f>
        <v>Insignificante</v>
      </c>
      <c r="AB105" s="80" t="s">
        <v>62</v>
      </c>
    </row>
    <row r="106" spans="1:28" s="54" customFormat="1" ht="382.5" x14ac:dyDescent="1.1000000000000001">
      <c r="A106" s="50">
        <v>140</v>
      </c>
      <c r="B106" s="86" t="s">
        <v>26</v>
      </c>
      <c r="C106" s="80" t="s">
        <v>140</v>
      </c>
      <c r="D106" s="67" t="s">
        <v>28</v>
      </c>
      <c r="E106" s="80" t="s">
        <v>201</v>
      </c>
      <c r="F106" s="96" t="s">
        <v>63</v>
      </c>
      <c r="G106" s="80" t="s">
        <v>80</v>
      </c>
      <c r="H106" s="69" t="s">
        <v>30</v>
      </c>
      <c r="I106" s="69" t="s">
        <v>34</v>
      </c>
      <c r="J106" s="69" t="s">
        <v>32</v>
      </c>
      <c r="K106" s="69" t="s">
        <v>32</v>
      </c>
      <c r="L106" s="69" t="s">
        <v>33</v>
      </c>
      <c r="M106" s="69" t="s">
        <v>38</v>
      </c>
      <c r="N106" s="70" t="s">
        <v>33</v>
      </c>
      <c r="O106" s="71">
        <v>1</v>
      </c>
      <c r="P106" s="72">
        <v>40</v>
      </c>
      <c r="Q106" s="73">
        <v>0.2</v>
      </c>
      <c r="R106" s="74">
        <f>PRODUCT(O106:Q106)</f>
        <v>8</v>
      </c>
      <c r="S106" s="75" t="str">
        <f>IF(R106&gt;400,"Insustentável (risco extremo)", IF(R106&gt;200,"Significativo (risco muito alto)", IF(R106&gt;70,"Significativo (alto risco)", IF(R106&gt;21,"Significativo (risco médio)", "Insignificante"))))</f>
        <v>Insignificante</v>
      </c>
      <c r="T106" s="80" t="s">
        <v>286</v>
      </c>
      <c r="U106" s="80" t="s">
        <v>287</v>
      </c>
      <c r="V106" s="80" t="s">
        <v>288</v>
      </c>
      <c r="W106" s="83">
        <v>1</v>
      </c>
      <c r="X106" s="71">
        <v>3</v>
      </c>
      <c r="Y106" s="84">
        <v>0.2</v>
      </c>
      <c r="Z106" s="77">
        <f>PRODUCT(W106:Y106)</f>
        <v>0.60000000000000009</v>
      </c>
      <c r="AA106" s="75" t="str">
        <f>IF(Z106&gt;400,"Insustentável (risco extremo)", IF(Z106&gt;200,"Significativo (risco muito alto)", IF(Z106&gt;70,"Significativo (alto risco)", IF(Z106&gt;21,"Significativo (risco médio)", "Insignificante"))))</f>
        <v>Insignificante</v>
      </c>
      <c r="AB106" s="80" t="s">
        <v>38</v>
      </c>
    </row>
    <row r="107" spans="1:28" s="54" customFormat="1" ht="408" customHeight="1" x14ac:dyDescent="1.1000000000000001">
      <c r="A107" s="50">
        <v>141</v>
      </c>
      <c r="B107" s="86" t="s">
        <v>26</v>
      </c>
      <c r="C107" s="80" t="s">
        <v>140</v>
      </c>
      <c r="D107" s="67" t="s">
        <v>28</v>
      </c>
      <c r="E107" s="80" t="s">
        <v>202</v>
      </c>
      <c r="F107" s="96" t="s">
        <v>365</v>
      </c>
      <c r="G107" s="80" t="s">
        <v>69</v>
      </c>
      <c r="H107" s="69" t="s">
        <v>37</v>
      </c>
      <c r="I107" s="69" t="s">
        <v>34</v>
      </c>
      <c r="J107" s="69" t="s">
        <v>32</v>
      </c>
      <c r="K107" s="69" t="s">
        <v>32</v>
      </c>
      <c r="L107" s="69" t="s">
        <v>33</v>
      </c>
      <c r="M107" s="69" t="s">
        <v>38</v>
      </c>
      <c r="N107" s="70" t="s">
        <v>33</v>
      </c>
      <c r="O107" s="71">
        <v>2</v>
      </c>
      <c r="P107" s="72">
        <v>3</v>
      </c>
      <c r="Q107" s="73">
        <v>0.5</v>
      </c>
      <c r="R107" s="74">
        <f>PRODUCT(O107:Q107)</f>
        <v>3</v>
      </c>
      <c r="S107" s="75" t="str">
        <f>IF(R107&gt;400,"Insustentável (risco extremo)", IF(R107&gt;200,"Significativo (risco muito alto)", IF(R107&gt;70,"Significativo (alto risco)", IF(R107&gt;21,"Significativo (risco médio)", "Insignificante"))))</f>
        <v>Insignificante</v>
      </c>
      <c r="T107" s="80" t="s">
        <v>387</v>
      </c>
      <c r="U107" s="80" t="s">
        <v>278</v>
      </c>
      <c r="V107" s="149" t="s">
        <v>273</v>
      </c>
      <c r="W107" s="83">
        <v>2</v>
      </c>
      <c r="X107" s="71">
        <v>3</v>
      </c>
      <c r="Y107" s="84">
        <v>0.2</v>
      </c>
      <c r="Z107" s="77">
        <f>PRODUCT(W107:Y107)</f>
        <v>1.2000000000000002</v>
      </c>
      <c r="AA107" s="75" t="str">
        <f>IF(Z107&gt;400,"Insustentável (risco extremo)", IF(Z107&gt;200,"Significativo (risco muito alto)", IF(Z107&gt;70,"Significativo (alto risco)", IF(Z107&gt;21,"Significativo (risco médio)", "Insignificante"))))</f>
        <v>Insignificante</v>
      </c>
      <c r="AB107" s="80" t="s">
        <v>46</v>
      </c>
    </row>
    <row r="108" spans="1:28" s="54" customFormat="1" ht="408" customHeight="1" x14ac:dyDescent="1.1000000000000001">
      <c r="A108" s="50">
        <v>142</v>
      </c>
      <c r="B108" s="86" t="s">
        <v>26</v>
      </c>
      <c r="C108" s="80" t="s">
        <v>140</v>
      </c>
      <c r="D108" s="67" t="s">
        <v>28</v>
      </c>
      <c r="E108" s="80" t="s">
        <v>202</v>
      </c>
      <c r="F108" s="96" t="s">
        <v>42</v>
      </c>
      <c r="G108" s="80" t="s">
        <v>80</v>
      </c>
      <c r="H108" s="69" t="s">
        <v>30</v>
      </c>
      <c r="I108" s="69" t="s">
        <v>31</v>
      </c>
      <c r="J108" s="69" t="s">
        <v>32</v>
      </c>
      <c r="K108" s="69" t="s">
        <v>32</v>
      </c>
      <c r="L108" s="69" t="s">
        <v>33</v>
      </c>
      <c r="M108" s="69" t="s">
        <v>38</v>
      </c>
      <c r="N108" s="70" t="s">
        <v>43</v>
      </c>
      <c r="O108" s="71">
        <v>2</v>
      </c>
      <c r="P108" s="72">
        <v>40</v>
      </c>
      <c r="Q108" s="73">
        <v>0.2</v>
      </c>
      <c r="R108" s="74">
        <f>PRODUCT(O108:Q108)</f>
        <v>16</v>
      </c>
      <c r="S108" s="75" t="str">
        <f>IF(R108&gt;400,"Insustentável (risco extremo)", IF(R108&gt;200,"Significativo (risco muito alto)", IF(R108&gt;70,"Significativo (alto risco)", IF(R108&gt;21,"Significativo (risco médio)", "Insignificante"))))</f>
        <v>Insignificante</v>
      </c>
      <c r="T108" s="80" t="s">
        <v>274</v>
      </c>
      <c r="U108" s="80" t="s">
        <v>275</v>
      </c>
      <c r="V108" s="80" t="s">
        <v>276</v>
      </c>
      <c r="W108" s="83">
        <v>2</v>
      </c>
      <c r="X108" s="71">
        <v>3</v>
      </c>
      <c r="Y108" s="84">
        <v>0.2</v>
      </c>
      <c r="Z108" s="77">
        <f>PRODUCT(W108:Y108)</f>
        <v>1.2000000000000002</v>
      </c>
      <c r="AA108" s="75" t="str">
        <f>IF(Z108&gt;400,"Insustentável (risco extremo)", IF(Z108&gt;200,"Significativo (risco muito alto)", IF(Z108&gt;70,"Significativo (alto risco)", IF(Z108&gt;21,"Significativo (risco médio)", "Insignificante"))))</f>
        <v>Insignificante</v>
      </c>
      <c r="AB108" s="80" t="s">
        <v>38</v>
      </c>
    </row>
    <row r="109" spans="1:28" s="54" customFormat="1" ht="382.5" x14ac:dyDescent="1.1000000000000001">
      <c r="A109" s="50">
        <v>146</v>
      </c>
      <c r="B109" s="78" t="s">
        <v>26</v>
      </c>
      <c r="C109" s="67" t="s">
        <v>158</v>
      </c>
      <c r="D109" s="67" t="s">
        <v>28</v>
      </c>
      <c r="E109" s="67" t="s">
        <v>361</v>
      </c>
      <c r="F109" s="67" t="s">
        <v>343</v>
      </c>
      <c r="G109" s="67" t="s">
        <v>69</v>
      </c>
      <c r="H109" s="69" t="s">
        <v>37</v>
      </c>
      <c r="I109" s="69" t="s">
        <v>31</v>
      </c>
      <c r="J109" s="69" t="s">
        <v>32</v>
      </c>
      <c r="K109" s="69" t="s">
        <v>32</v>
      </c>
      <c r="L109" s="69" t="s">
        <v>33</v>
      </c>
      <c r="M109" s="69" t="s">
        <v>34</v>
      </c>
      <c r="N109" s="70" t="s">
        <v>33</v>
      </c>
      <c r="O109" s="71">
        <v>10</v>
      </c>
      <c r="P109" s="72">
        <v>3</v>
      </c>
      <c r="Q109" s="73">
        <v>0.5</v>
      </c>
      <c r="R109" s="74">
        <f>PRODUCT(O109:Q109)</f>
        <v>15</v>
      </c>
      <c r="S109" s="75" t="str">
        <f>IF(R109&gt;400,"Insustentável (risco extremo)", IF(R109&gt;200,"Significativo (risco muito alto)", IF(R109&gt;70,"Significativo (alto risco)", IF(R109&gt;21,"Significativo (risco médio)", "Insignificante"))))</f>
        <v>Insignificante</v>
      </c>
      <c r="T109" s="67" t="s">
        <v>271</v>
      </c>
      <c r="U109" s="67" t="s">
        <v>272</v>
      </c>
      <c r="V109" s="67" t="s">
        <v>273</v>
      </c>
      <c r="W109" s="76">
        <v>6</v>
      </c>
      <c r="X109" s="72">
        <v>3</v>
      </c>
      <c r="Y109" s="73">
        <v>0.1</v>
      </c>
      <c r="Z109" s="77">
        <f>PRODUCT(W109:Y109)</f>
        <v>1.8</v>
      </c>
      <c r="AA109" s="75" t="str">
        <f>IF(Z109&gt;400,"Insustentável (risco extremo)", IF(Z109&gt;200,"Significativo (risco muito alto)", IF(Z109&gt;70,"Significativo (alto risco)", IF(Z109&gt;21,"Significativo (risco médio)", "Insignificante"))))</f>
        <v>Insignificante</v>
      </c>
      <c r="AB109" s="67" t="s">
        <v>46</v>
      </c>
    </row>
    <row r="110" spans="1:28" s="54" customFormat="1" ht="382.5" x14ac:dyDescent="1.1000000000000001">
      <c r="A110" s="50">
        <v>147</v>
      </c>
      <c r="B110" s="85" t="s">
        <v>26</v>
      </c>
      <c r="C110" s="67" t="s">
        <v>158</v>
      </c>
      <c r="D110" s="67" t="s">
        <v>28</v>
      </c>
      <c r="E110" s="67" t="s">
        <v>159</v>
      </c>
      <c r="F110" s="79" t="s">
        <v>54</v>
      </c>
      <c r="G110" s="67" t="s">
        <v>90</v>
      </c>
      <c r="H110" s="69" t="s">
        <v>37</v>
      </c>
      <c r="I110" s="69" t="s">
        <v>31</v>
      </c>
      <c r="J110" s="69" t="s">
        <v>32</v>
      </c>
      <c r="K110" s="69" t="s">
        <v>32</v>
      </c>
      <c r="L110" s="69" t="s">
        <v>33</v>
      </c>
      <c r="M110" s="69" t="s">
        <v>34</v>
      </c>
      <c r="N110" s="70" t="s">
        <v>33</v>
      </c>
      <c r="O110" s="71">
        <v>10</v>
      </c>
      <c r="P110" s="72">
        <v>1</v>
      </c>
      <c r="Q110" s="73">
        <v>0.5</v>
      </c>
      <c r="R110" s="74">
        <f>PRODUCT(O110:Q110)</f>
        <v>5</v>
      </c>
      <c r="S110" s="75" t="str">
        <f>IF(R110&gt;400,"Insustentável (risco extremo)", IF(R110&gt;200,"Significativo (risco muito alto)", IF(R110&gt;70,"Significativo (alto risco)", IF(R110&gt;21,"Significativo (risco médio)", "Insignificante"))))</f>
        <v>Insignificante</v>
      </c>
      <c r="T110" s="67" t="s">
        <v>283</v>
      </c>
      <c r="U110" s="67" t="s">
        <v>284</v>
      </c>
      <c r="V110" s="67" t="s">
        <v>285</v>
      </c>
      <c r="W110" s="76">
        <v>10</v>
      </c>
      <c r="X110" s="72">
        <v>1</v>
      </c>
      <c r="Y110" s="73">
        <v>0.2</v>
      </c>
      <c r="Z110" s="77">
        <f>PRODUCT(W110:Y110)</f>
        <v>2</v>
      </c>
      <c r="AA110" s="75" t="str">
        <f>IF(Z110&gt;400,"Insustentável (risco extremo)", IF(Z110&gt;200,"Significativo (risco muito alto)", IF(Z110&gt;70,"Significativo (alto risco)", IF(Z110&gt;21,"Significativo (risco médio)", "Insignificante"))))</f>
        <v>Insignificante</v>
      </c>
      <c r="AB110" s="67" t="s">
        <v>332</v>
      </c>
    </row>
    <row r="111" spans="1:28" s="54" customFormat="1" ht="382.5" x14ac:dyDescent="1.1000000000000001">
      <c r="A111" s="50">
        <v>148</v>
      </c>
      <c r="B111" s="78" t="s">
        <v>26</v>
      </c>
      <c r="C111" s="67" t="s">
        <v>158</v>
      </c>
      <c r="D111" s="67" t="s">
        <v>28</v>
      </c>
      <c r="E111" s="67" t="s">
        <v>159</v>
      </c>
      <c r="F111" s="79" t="s">
        <v>56</v>
      </c>
      <c r="G111" s="67" t="s">
        <v>69</v>
      </c>
      <c r="H111" s="69" t="s">
        <v>37</v>
      </c>
      <c r="I111" s="69" t="s">
        <v>31</v>
      </c>
      <c r="J111" s="69" t="s">
        <v>32</v>
      </c>
      <c r="K111" s="69" t="s">
        <v>32</v>
      </c>
      <c r="L111" s="69" t="s">
        <v>33</v>
      </c>
      <c r="M111" s="69" t="s">
        <v>34</v>
      </c>
      <c r="N111" s="70" t="s">
        <v>33</v>
      </c>
      <c r="O111" s="71">
        <v>10</v>
      </c>
      <c r="P111" s="72">
        <v>3</v>
      </c>
      <c r="Q111" s="73">
        <v>0.5</v>
      </c>
      <c r="R111" s="74">
        <f>PRODUCT(O111:Q111)</f>
        <v>15</v>
      </c>
      <c r="S111" s="75" t="str">
        <f>IF(R111&gt;400,"Insustentável (risco extremo)", IF(R111&gt;200,"Significativo (risco muito alto)", IF(R111&gt;70,"Significativo (alto risco)", IF(R111&gt;21,"Significativo (risco médio)", "Insignificante"))))</f>
        <v>Insignificante</v>
      </c>
      <c r="T111" s="67" t="s">
        <v>271</v>
      </c>
      <c r="U111" s="147" t="s">
        <v>272</v>
      </c>
      <c r="V111" s="148" t="s">
        <v>273</v>
      </c>
      <c r="W111" s="76">
        <v>10</v>
      </c>
      <c r="X111" s="72">
        <v>3</v>
      </c>
      <c r="Y111" s="73">
        <v>0.2</v>
      </c>
      <c r="Z111" s="77">
        <f>PRODUCT(W111:Y111)</f>
        <v>6</v>
      </c>
      <c r="AA111" s="75" t="str">
        <f>IF(Z111&gt;400,"Insustentável (risco extremo)", IF(Z111&gt;200,"Significativo (risco muito alto)", IF(Z111&gt;70,"Significativo (alto risco)", IF(Z111&gt;21,"Significativo (risco médio)", "Insignificante"))))</f>
        <v>Insignificante</v>
      </c>
      <c r="AB111" s="67" t="s">
        <v>46</v>
      </c>
    </row>
    <row r="112" spans="1:28" s="54" customFormat="1" ht="382.5" x14ac:dyDescent="1.1000000000000001">
      <c r="A112" s="50"/>
      <c r="B112" s="78" t="s">
        <v>26</v>
      </c>
      <c r="C112" s="67" t="s">
        <v>158</v>
      </c>
      <c r="D112" s="67" t="s">
        <v>28</v>
      </c>
      <c r="E112" s="67" t="s">
        <v>381</v>
      </c>
      <c r="F112" s="79" t="s">
        <v>99</v>
      </c>
      <c r="G112" s="67" t="s">
        <v>90</v>
      </c>
      <c r="H112" s="69" t="s">
        <v>37</v>
      </c>
      <c r="I112" s="69" t="s">
        <v>31</v>
      </c>
      <c r="J112" s="69" t="s">
        <v>32</v>
      </c>
      <c r="K112" s="69" t="s">
        <v>32</v>
      </c>
      <c r="L112" s="69" t="s">
        <v>33</v>
      </c>
      <c r="M112" s="69" t="s">
        <v>34</v>
      </c>
      <c r="N112" s="70" t="s">
        <v>43</v>
      </c>
      <c r="O112" s="71">
        <v>10</v>
      </c>
      <c r="P112" s="72">
        <v>1</v>
      </c>
      <c r="Q112" s="73">
        <v>0.5</v>
      </c>
      <c r="R112" s="74">
        <f>PRODUCT(O112:Q112)</f>
        <v>5</v>
      </c>
      <c r="S112" s="75" t="str">
        <f>IF(R112&gt;400,"Insustentável (risco extremo)", IF(R112&gt;200,"Significativo (risco muito alto)", IF(R112&gt;70,"Significativo (alto risco)", IF(R112&gt;21,"Significativo (risco médio)", "Insignificante"))))</f>
        <v>Insignificante</v>
      </c>
      <c r="T112" s="67" t="s">
        <v>302</v>
      </c>
      <c r="U112" s="67" t="s">
        <v>303</v>
      </c>
      <c r="V112" s="67" t="s">
        <v>285</v>
      </c>
      <c r="W112" s="76">
        <v>10</v>
      </c>
      <c r="X112" s="72">
        <v>1</v>
      </c>
      <c r="Y112" s="73">
        <v>0.2</v>
      </c>
      <c r="Z112" s="77">
        <f>PRODUCT(W112:Y112)</f>
        <v>2</v>
      </c>
      <c r="AA112" s="75" t="str">
        <f>IF(Z112&gt;400,"Insustentável (risco extremo)", IF(Z112&gt;200,"Significativo (risco muito alto)", IF(Z112&gt;70,"Significativo (alto risco)", IF(Z112&gt;21,"Significativo (risco médio)", "Insignificante"))))</f>
        <v>Insignificante</v>
      </c>
      <c r="AB112" s="67" t="s">
        <v>331</v>
      </c>
    </row>
    <row r="113" spans="1:28" s="54" customFormat="1" ht="382.5" x14ac:dyDescent="1.1000000000000001">
      <c r="A113" s="50">
        <v>149</v>
      </c>
      <c r="B113" s="78" t="s">
        <v>26</v>
      </c>
      <c r="C113" s="67" t="s">
        <v>158</v>
      </c>
      <c r="D113" s="67" t="s">
        <v>28</v>
      </c>
      <c r="E113" s="67" t="s">
        <v>159</v>
      </c>
      <c r="F113" s="79" t="s">
        <v>42</v>
      </c>
      <c r="G113" s="67" t="s">
        <v>80</v>
      </c>
      <c r="H113" s="69" t="s">
        <v>30</v>
      </c>
      <c r="I113" s="69" t="s">
        <v>31</v>
      </c>
      <c r="J113" s="69" t="s">
        <v>32</v>
      </c>
      <c r="K113" s="69" t="s">
        <v>32</v>
      </c>
      <c r="L113" s="69" t="s">
        <v>33</v>
      </c>
      <c r="M113" s="69" t="s">
        <v>38</v>
      </c>
      <c r="N113" s="70" t="s">
        <v>43</v>
      </c>
      <c r="O113" s="71">
        <v>10</v>
      </c>
      <c r="P113" s="72">
        <v>3</v>
      </c>
      <c r="Q113" s="73">
        <v>1</v>
      </c>
      <c r="R113" s="74">
        <f>PRODUCT(O113:Q113)</f>
        <v>30</v>
      </c>
      <c r="S113" s="75" t="str">
        <f>IF(R113&gt;400,"Insustentável (risco extremo)", IF(R113&gt;200,"Significativo (risco muito alto)", IF(R113&gt;70,"Significativo (alto risco)", IF(R113&gt;21,"Significativo (risco médio)", "Insignificante"))))</f>
        <v>Significativo (risco médio)</v>
      </c>
      <c r="T113" s="67" t="s">
        <v>274</v>
      </c>
      <c r="U113" s="67" t="s">
        <v>275</v>
      </c>
      <c r="V113" s="67" t="s">
        <v>276</v>
      </c>
      <c r="W113" s="76">
        <v>2</v>
      </c>
      <c r="X113" s="72">
        <v>3</v>
      </c>
      <c r="Y113" s="73">
        <v>0.1</v>
      </c>
      <c r="Z113" s="77">
        <f>PRODUCT(W113:Y113)</f>
        <v>0.60000000000000009</v>
      </c>
      <c r="AA113" s="75" t="str">
        <f>IF(Z113&gt;400,"Insustentável (risco extremo)", IF(Z113&gt;200,"Significativo (risco muito alto)", IF(Z113&gt;70,"Significativo (alto risco)", IF(Z113&gt;21,"Significativo (risco médio)", "Insignificante"))))</f>
        <v>Insignificante</v>
      </c>
      <c r="AB113" s="67" t="s">
        <v>38</v>
      </c>
    </row>
    <row r="114" spans="1:28" s="54" customFormat="1" ht="382.5" x14ac:dyDescent="1.1000000000000001">
      <c r="A114" s="50">
        <v>151</v>
      </c>
      <c r="B114" s="78" t="s">
        <v>26</v>
      </c>
      <c r="C114" s="67" t="s">
        <v>158</v>
      </c>
      <c r="D114" s="67" t="s">
        <v>28</v>
      </c>
      <c r="E114" s="67" t="s">
        <v>159</v>
      </c>
      <c r="F114" s="79" t="s">
        <v>160</v>
      </c>
      <c r="G114" s="67" t="s">
        <v>69</v>
      </c>
      <c r="H114" s="69" t="s">
        <v>37</v>
      </c>
      <c r="I114" s="69" t="s">
        <v>31</v>
      </c>
      <c r="J114" s="69" t="s">
        <v>32</v>
      </c>
      <c r="K114" s="69" t="s">
        <v>32</v>
      </c>
      <c r="L114" s="69" t="s">
        <v>33</v>
      </c>
      <c r="M114" s="69" t="s">
        <v>34</v>
      </c>
      <c r="N114" s="70" t="s">
        <v>43</v>
      </c>
      <c r="O114" s="71">
        <v>6</v>
      </c>
      <c r="P114" s="72">
        <v>3</v>
      </c>
      <c r="Q114" s="73">
        <v>0.5</v>
      </c>
      <c r="R114" s="74">
        <f>PRODUCT(O114:Q114)</f>
        <v>9</v>
      </c>
      <c r="S114" s="75" t="str">
        <f>IF(R114&gt;400,"Insustentável (risco extremo)", IF(R114&gt;200,"Significativo (risco muito alto)", IF(R114&gt;70,"Significativo (alto risco)", IF(R114&gt;21,"Significativo (risco médio)", "Insignificante"))))</f>
        <v>Insignificante</v>
      </c>
      <c r="T114" s="67" t="s">
        <v>277</v>
      </c>
      <c r="U114" s="80" t="s">
        <v>278</v>
      </c>
      <c r="V114" s="67" t="s">
        <v>279</v>
      </c>
      <c r="W114" s="76">
        <v>3</v>
      </c>
      <c r="X114" s="72">
        <v>3</v>
      </c>
      <c r="Y114" s="73">
        <v>0.2</v>
      </c>
      <c r="Z114" s="77">
        <f>PRODUCT(W114:Y114)</f>
        <v>1.8</v>
      </c>
      <c r="AA114" s="75" t="str">
        <f>IF(Z114&gt;400,"Insustentável (risco extremo)", IF(Z114&gt;200,"Significativo (risco muito alto)", IF(Z114&gt;70,"Significativo (alto risco)", IF(Z114&gt;21,"Significativo (risco médio)", "Insignificante"))))</f>
        <v>Insignificante</v>
      </c>
      <c r="AB114" s="67" t="s">
        <v>46</v>
      </c>
    </row>
    <row r="115" spans="1:28" s="54" customFormat="1" ht="382.5" x14ac:dyDescent="1.1000000000000001">
      <c r="A115" s="50">
        <v>155</v>
      </c>
      <c r="B115" s="86" t="s">
        <v>26</v>
      </c>
      <c r="C115" s="80" t="s">
        <v>158</v>
      </c>
      <c r="D115" s="67" t="s">
        <v>28</v>
      </c>
      <c r="E115" s="80" t="s">
        <v>159</v>
      </c>
      <c r="F115" s="96" t="s">
        <v>36</v>
      </c>
      <c r="G115" s="80" t="s">
        <v>198</v>
      </c>
      <c r="H115" s="69" t="s">
        <v>37</v>
      </c>
      <c r="I115" s="69" t="s">
        <v>31</v>
      </c>
      <c r="J115" s="69" t="s">
        <v>32</v>
      </c>
      <c r="K115" s="69" t="s">
        <v>32</v>
      </c>
      <c r="L115" s="69" t="s">
        <v>33</v>
      </c>
      <c r="M115" s="69" t="s">
        <v>30</v>
      </c>
      <c r="N115" s="70" t="s">
        <v>33</v>
      </c>
      <c r="O115" s="71">
        <v>10</v>
      </c>
      <c r="P115" s="72">
        <v>15</v>
      </c>
      <c r="Q115" s="73">
        <v>1</v>
      </c>
      <c r="R115" s="74">
        <f>PRODUCT(O115:Q115)</f>
        <v>150</v>
      </c>
      <c r="S115" s="75" t="str">
        <f>IF(R115&gt;400,"Insustentável (risco extremo)", IF(R115&gt;200,"Significativo (risco muito alto)", IF(R115&gt;70,"Significativo (alto risco)", IF(R115&gt;21,"Significativo (risco médio)", "Insignificante"))))</f>
        <v>Significativo (alto risco)</v>
      </c>
      <c r="T115" s="80" t="s">
        <v>268</v>
      </c>
      <c r="U115" s="80" t="s">
        <v>269</v>
      </c>
      <c r="V115" s="80" t="s">
        <v>270</v>
      </c>
      <c r="W115" s="83">
        <v>6</v>
      </c>
      <c r="X115" s="71">
        <v>3</v>
      </c>
      <c r="Y115" s="84">
        <v>1</v>
      </c>
      <c r="Z115" s="77">
        <f>PRODUCT(W115:Y115)</f>
        <v>18</v>
      </c>
      <c r="AA115" s="75" t="str">
        <f>IF(Z115&gt;400,"Insustentável (risco extremo)", IF(Z115&gt;200,"Significativo (risco muito alto)", IF(Z115&gt;70,"Significativo (alto risco)", IF(Z115&gt;21,"Significativo (risco médio)", "Insignificante"))))</f>
        <v>Insignificante</v>
      </c>
      <c r="AB115" s="80" t="s">
        <v>39</v>
      </c>
    </row>
    <row r="116" spans="1:28" s="54" customFormat="1" ht="382.5" x14ac:dyDescent="1.1000000000000001">
      <c r="A116" s="50">
        <v>156</v>
      </c>
      <c r="B116" s="78" t="s">
        <v>124</v>
      </c>
      <c r="C116" s="67" t="s">
        <v>171</v>
      </c>
      <c r="D116" s="67" t="s">
        <v>28</v>
      </c>
      <c r="E116" s="79" t="s">
        <v>172</v>
      </c>
      <c r="F116" s="67" t="s">
        <v>63</v>
      </c>
      <c r="G116" s="67" t="s">
        <v>80</v>
      </c>
      <c r="H116" s="69" t="s">
        <v>32</v>
      </c>
      <c r="I116" s="69" t="s">
        <v>31</v>
      </c>
      <c r="J116" s="69" t="s">
        <v>32</v>
      </c>
      <c r="K116" s="69" t="s">
        <v>32</v>
      </c>
      <c r="L116" s="69" t="s">
        <v>33</v>
      </c>
      <c r="M116" s="69" t="s">
        <v>38</v>
      </c>
      <c r="N116" s="70" t="s">
        <v>43</v>
      </c>
      <c r="O116" s="71">
        <v>6</v>
      </c>
      <c r="P116" s="72">
        <v>3</v>
      </c>
      <c r="Q116" s="73">
        <v>1</v>
      </c>
      <c r="R116" s="74">
        <f>PRODUCT(O116:Q116)</f>
        <v>18</v>
      </c>
      <c r="S116" s="75" t="str">
        <f>IF(R116&gt;400,"Insustentável (risco extremo)", IF(R116&gt;200,"Significativo (risco muito alto)", IF(R116&gt;70,"Significativo (alto risco)", IF(R116&gt;21,"Significativo (risco médio)", "Insignificante"))))</f>
        <v>Insignificante</v>
      </c>
      <c r="T116" s="67" t="s">
        <v>286</v>
      </c>
      <c r="U116" s="67" t="s">
        <v>287</v>
      </c>
      <c r="V116" s="67" t="s">
        <v>288</v>
      </c>
      <c r="W116" s="76">
        <v>6</v>
      </c>
      <c r="X116" s="72">
        <v>3</v>
      </c>
      <c r="Y116" s="73">
        <v>0.1</v>
      </c>
      <c r="Z116" s="77">
        <f>PRODUCT(W116:Y116)</f>
        <v>1.8</v>
      </c>
      <c r="AA116" s="75" t="str">
        <f>IF(Z116&gt;400,"Insustentável (risco extremo)", IF(Z116&gt;200,"Significativo (risco muito alto)", IF(Z116&gt;70,"Significativo (alto risco)", IF(Z116&gt;21,"Significativo (risco médio)", "Insignificante"))))</f>
        <v>Insignificante</v>
      </c>
      <c r="AB116" s="67" t="s">
        <v>38</v>
      </c>
    </row>
    <row r="117" spans="1:28" s="54" customFormat="1" ht="382.5" x14ac:dyDescent="1.1000000000000001">
      <c r="A117" s="50">
        <v>157</v>
      </c>
      <c r="B117" s="78" t="s">
        <v>124</v>
      </c>
      <c r="C117" s="67" t="s">
        <v>171</v>
      </c>
      <c r="D117" s="67" t="s">
        <v>28</v>
      </c>
      <c r="E117" s="79" t="s">
        <v>174</v>
      </c>
      <c r="F117" s="67" t="s">
        <v>149</v>
      </c>
      <c r="G117" s="67" t="s">
        <v>200</v>
      </c>
      <c r="H117" s="69" t="s">
        <v>37</v>
      </c>
      <c r="I117" s="69" t="s">
        <v>34</v>
      </c>
      <c r="J117" s="69" t="s">
        <v>32</v>
      </c>
      <c r="K117" s="69" t="s">
        <v>32</v>
      </c>
      <c r="L117" s="69" t="s">
        <v>33</v>
      </c>
      <c r="M117" s="69" t="s">
        <v>38</v>
      </c>
      <c r="N117" s="70" t="s">
        <v>35</v>
      </c>
      <c r="O117" s="71">
        <v>10</v>
      </c>
      <c r="P117" s="72">
        <v>3</v>
      </c>
      <c r="Q117" s="73">
        <v>1</v>
      </c>
      <c r="R117" s="74">
        <f>PRODUCT(O117:Q117)</f>
        <v>30</v>
      </c>
      <c r="S117" s="75" t="str">
        <f>IF(R117&gt;400,"Insustentável (risco extremo)", IF(R117&gt;200,"Significativo (risco muito alto)", IF(R117&gt;70,"Significativo (alto risco)", IF(R117&gt;21,"Significativo (risco médio)", "Insignificante"))))</f>
        <v>Significativo (risco médio)</v>
      </c>
      <c r="T117" s="67" t="s">
        <v>317</v>
      </c>
      <c r="U117" s="67" t="s">
        <v>318</v>
      </c>
      <c r="V117" s="67" t="s">
        <v>319</v>
      </c>
      <c r="W117" s="76">
        <v>6</v>
      </c>
      <c r="X117" s="72">
        <v>3</v>
      </c>
      <c r="Y117" s="73">
        <v>0.5</v>
      </c>
      <c r="Z117" s="77">
        <f>PRODUCT(W117:Y117)</f>
        <v>9</v>
      </c>
      <c r="AA117" s="75" t="str">
        <f>IF(Z117&gt;400,"Insustentável (risco extremo)", IF(Z117&gt;200,"Significativo (risco muito alto)", IF(Z117&gt;70,"Significativo (alto risco)", IF(Z117&gt;21,"Significativo (risco médio)", "Insignificante"))))</f>
        <v>Insignificante</v>
      </c>
      <c r="AB117" s="67" t="s">
        <v>38</v>
      </c>
    </row>
    <row r="118" spans="1:28" s="54" customFormat="1" ht="306" x14ac:dyDescent="1.1000000000000001">
      <c r="A118" s="50">
        <v>160</v>
      </c>
      <c r="B118" s="78" t="s">
        <v>124</v>
      </c>
      <c r="C118" s="67" t="s">
        <v>171</v>
      </c>
      <c r="D118" s="67" t="s">
        <v>28</v>
      </c>
      <c r="E118" s="79" t="s">
        <v>388</v>
      </c>
      <c r="F118" s="67" t="s">
        <v>103</v>
      </c>
      <c r="G118" s="67" t="s">
        <v>90</v>
      </c>
      <c r="H118" s="69" t="s">
        <v>37</v>
      </c>
      <c r="I118" s="69" t="s">
        <v>31</v>
      </c>
      <c r="J118" s="69" t="s">
        <v>43</v>
      </c>
      <c r="K118" s="69" t="s">
        <v>32</v>
      </c>
      <c r="L118" s="69" t="s">
        <v>33</v>
      </c>
      <c r="M118" s="69" t="s">
        <v>38</v>
      </c>
      <c r="N118" s="70" t="s">
        <v>43</v>
      </c>
      <c r="O118" s="71">
        <v>6</v>
      </c>
      <c r="P118" s="72">
        <v>1</v>
      </c>
      <c r="Q118" s="73">
        <v>0.5</v>
      </c>
      <c r="R118" s="74">
        <f>PRODUCT(O118:Q118)</f>
        <v>3</v>
      </c>
      <c r="S118" s="75" t="str">
        <f>IF(R118&gt;400,"Insustentável (risco extremo)", IF(R118&gt;200,"Significativo (risco muito alto)", IF(R118&gt;70,"Significativo (alto risco)", IF(R118&gt;21,"Significativo (risco médio)", "Insignificante"))))</f>
        <v>Insignificante</v>
      </c>
      <c r="T118" s="67" t="s">
        <v>305</v>
      </c>
      <c r="U118" s="80" t="s">
        <v>306</v>
      </c>
      <c r="V118" s="67" t="s">
        <v>307</v>
      </c>
      <c r="W118" s="76">
        <v>6</v>
      </c>
      <c r="X118" s="72">
        <v>1</v>
      </c>
      <c r="Y118" s="73">
        <v>0.2</v>
      </c>
      <c r="Z118" s="77">
        <f>PRODUCT(W118:Y118)</f>
        <v>1.2000000000000002</v>
      </c>
      <c r="AA118" s="75" t="str">
        <f>IF(Z118&gt;400,"Insustentável (risco extremo)", IF(Z118&gt;200,"Significativo (risco muito alto)", IF(Z118&gt;70,"Significativo (alto risco)", IF(Z118&gt;21,"Significativo (risco médio)", "Insignificante"))))</f>
        <v>Insignificante</v>
      </c>
      <c r="AB118" s="67" t="s">
        <v>46</v>
      </c>
    </row>
    <row r="119" spans="1:28" s="54" customFormat="1" ht="382.5" x14ac:dyDescent="1.1000000000000001">
      <c r="A119" s="50">
        <v>161</v>
      </c>
      <c r="B119" s="78" t="s">
        <v>124</v>
      </c>
      <c r="C119" s="67" t="s">
        <v>171</v>
      </c>
      <c r="D119" s="67" t="s">
        <v>28</v>
      </c>
      <c r="E119" s="79" t="s">
        <v>388</v>
      </c>
      <c r="F119" s="67" t="s">
        <v>365</v>
      </c>
      <c r="G119" s="67" t="s">
        <v>69</v>
      </c>
      <c r="H119" s="69" t="s">
        <v>37</v>
      </c>
      <c r="I119" s="69" t="s">
        <v>31</v>
      </c>
      <c r="J119" s="69" t="s">
        <v>32</v>
      </c>
      <c r="K119" s="69" t="s">
        <v>32</v>
      </c>
      <c r="L119" s="69" t="s">
        <v>33</v>
      </c>
      <c r="M119" s="69" t="s">
        <v>34</v>
      </c>
      <c r="N119" s="70" t="s">
        <v>33</v>
      </c>
      <c r="O119" s="71">
        <v>6</v>
      </c>
      <c r="P119" s="72">
        <v>3</v>
      </c>
      <c r="Q119" s="73">
        <v>0.5</v>
      </c>
      <c r="R119" s="74">
        <f>PRODUCT(O119:Q119)</f>
        <v>9</v>
      </c>
      <c r="S119" s="75" t="str">
        <f>IF(R119&gt;400,"Insustentável (risco extremo)", IF(R119&gt;200,"Significativo (risco muito alto)", IF(R119&gt;70,"Significativo (alto risco)", IF(R119&gt;21,"Significativo (risco médio)", "Insignificante"))))</f>
        <v>Insignificante</v>
      </c>
      <c r="T119" s="67" t="s">
        <v>387</v>
      </c>
      <c r="U119" s="80" t="s">
        <v>278</v>
      </c>
      <c r="V119" s="67" t="s">
        <v>273</v>
      </c>
      <c r="W119" s="76">
        <v>6</v>
      </c>
      <c r="X119" s="72">
        <v>3</v>
      </c>
      <c r="Y119" s="73">
        <v>0.2</v>
      </c>
      <c r="Z119" s="77">
        <f>PRODUCT(W119:Y119)</f>
        <v>3.6</v>
      </c>
      <c r="AA119" s="75" t="str">
        <f>IF(Z119&gt;400,"Insustentável (risco extremo)", IF(Z119&gt;200,"Significativo (risco muito alto)", IF(Z119&gt;70,"Significativo (alto risco)", IF(Z119&gt;21,"Significativo (risco médio)", "Insignificante"))))</f>
        <v>Insignificante</v>
      </c>
      <c r="AB119" s="67" t="s">
        <v>46</v>
      </c>
    </row>
    <row r="120" spans="1:28" s="54" customFormat="1" ht="382.5" x14ac:dyDescent="1.1000000000000001">
      <c r="A120" s="50">
        <v>162</v>
      </c>
      <c r="B120" s="86" t="s">
        <v>26</v>
      </c>
      <c r="C120" s="67" t="s">
        <v>171</v>
      </c>
      <c r="D120" s="67" t="s">
        <v>28</v>
      </c>
      <c r="E120" s="80" t="s">
        <v>194</v>
      </c>
      <c r="F120" s="67" t="s">
        <v>365</v>
      </c>
      <c r="G120" s="80" t="s">
        <v>69</v>
      </c>
      <c r="H120" s="69" t="s">
        <v>37</v>
      </c>
      <c r="I120" s="69" t="s">
        <v>31</v>
      </c>
      <c r="J120" s="69" t="s">
        <v>32</v>
      </c>
      <c r="K120" s="69" t="s">
        <v>32</v>
      </c>
      <c r="L120" s="69" t="s">
        <v>33</v>
      </c>
      <c r="M120" s="69" t="s">
        <v>34</v>
      </c>
      <c r="N120" s="70" t="s">
        <v>33</v>
      </c>
      <c r="O120" s="71">
        <v>10</v>
      </c>
      <c r="P120" s="72">
        <v>3</v>
      </c>
      <c r="Q120" s="73">
        <v>0.5</v>
      </c>
      <c r="R120" s="74">
        <f>PRODUCT(O120:Q120)</f>
        <v>15</v>
      </c>
      <c r="S120" s="75" t="str">
        <f>IF(R120&gt;400,"Insustentável (risco extremo)", IF(R120&gt;200,"Significativo (risco muito alto)", IF(R120&gt;70,"Significativo (alto risco)", IF(R120&gt;21,"Significativo (risco médio)", "Insignificante"))))</f>
        <v>Insignificante</v>
      </c>
      <c r="T120" s="80" t="s">
        <v>387</v>
      </c>
      <c r="U120" s="80" t="s">
        <v>278</v>
      </c>
      <c r="V120" s="67" t="s">
        <v>273</v>
      </c>
      <c r="W120" s="83">
        <v>2</v>
      </c>
      <c r="X120" s="71">
        <v>3</v>
      </c>
      <c r="Y120" s="84">
        <v>0.2</v>
      </c>
      <c r="Z120" s="93">
        <v>0.6</v>
      </c>
      <c r="AA120" s="75" t="str">
        <f>IF(Z120&gt;400,"Insustentável (risco extremo)", IF(Z120&gt;200,"Significativo (risco muito alto)", IF(Z120&gt;70,"Significativo (alto risco)", IF(Z120&gt;21,"Significativo (risco médio)", "Insignificante"))))</f>
        <v>Insignificante</v>
      </c>
      <c r="AB120" s="80" t="s">
        <v>46</v>
      </c>
    </row>
    <row r="121" spans="1:28" s="54" customFormat="1" ht="382.5" x14ac:dyDescent="1.1000000000000001">
      <c r="A121" s="50">
        <v>164</v>
      </c>
      <c r="B121" s="78" t="s">
        <v>124</v>
      </c>
      <c r="C121" s="67" t="s">
        <v>166</v>
      </c>
      <c r="D121" s="67" t="s">
        <v>28</v>
      </c>
      <c r="E121" s="79" t="s">
        <v>167</v>
      </c>
      <c r="F121" s="67" t="s">
        <v>389</v>
      </c>
      <c r="G121" s="67" t="s">
        <v>80</v>
      </c>
      <c r="H121" s="69" t="s">
        <v>37</v>
      </c>
      <c r="I121" s="69" t="s">
        <v>31</v>
      </c>
      <c r="J121" s="69" t="s">
        <v>32</v>
      </c>
      <c r="K121" s="69" t="s">
        <v>32</v>
      </c>
      <c r="L121" s="69" t="s">
        <v>33</v>
      </c>
      <c r="M121" s="69" t="s">
        <v>38</v>
      </c>
      <c r="N121" s="70" t="s">
        <v>33</v>
      </c>
      <c r="O121" s="71">
        <v>10</v>
      </c>
      <c r="P121" s="72">
        <v>3</v>
      </c>
      <c r="Q121" s="73">
        <v>0.5</v>
      </c>
      <c r="R121" s="74">
        <f>PRODUCT(O121:Q121)</f>
        <v>15</v>
      </c>
      <c r="S121" s="75" t="str">
        <f>IF(R121&gt;400,"Insustentável (risco extremo)", IF(R121&gt;200,"Significativo (risco muito alto)", IF(R121&gt;70,"Significativo (alto risco)", IF(R121&gt;21,"Significativo (risco médio)", "Insignificante"))))</f>
        <v>Insignificante</v>
      </c>
      <c r="T121" s="67" t="s">
        <v>299</v>
      </c>
      <c r="U121" s="67" t="s">
        <v>300</v>
      </c>
      <c r="V121" s="67" t="s">
        <v>301</v>
      </c>
      <c r="W121" s="76">
        <v>10</v>
      </c>
      <c r="X121" s="72">
        <v>3</v>
      </c>
      <c r="Y121" s="73">
        <v>0.2</v>
      </c>
      <c r="Z121" s="77">
        <f>PRODUCT(W121:Y121)</f>
        <v>6</v>
      </c>
      <c r="AA121" s="75" t="str">
        <f>IF(Z121&gt;400,"Insustentável (risco extremo)", IF(Z121&gt;200,"Significativo (risco muito alto)", IF(Z121&gt;70,"Significativo (alto risco)", IF(Z121&gt;21,"Significativo (risco médio)", "Insignificante"))))</f>
        <v>Insignificante</v>
      </c>
      <c r="AB121" s="67" t="s">
        <v>62</v>
      </c>
    </row>
    <row r="122" spans="1:28" s="54" customFormat="1" ht="382.5" x14ac:dyDescent="1.1000000000000001">
      <c r="A122" s="50">
        <v>165</v>
      </c>
      <c r="B122" s="78" t="s">
        <v>124</v>
      </c>
      <c r="C122" s="67" t="s">
        <v>166</v>
      </c>
      <c r="D122" s="67" t="s">
        <v>28</v>
      </c>
      <c r="E122" s="79" t="s">
        <v>168</v>
      </c>
      <c r="F122" s="79" t="s">
        <v>99</v>
      </c>
      <c r="G122" s="79" t="s">
        <v>90</v>
      </c>
      <c r="H122" s="69" t="s">
        <v>37</v>
      </c>
      <c r="I122" s="69" t="s">
        <v>31</v>
      </c>
      <c r="J122" s="69" t="s">
        <v>32</v>
      </c>
      <c r="K122" s="69" t="s">
        <v>32</v>
      </c>
      <c r="L122" s="69" t="s">
        <v>33</v>
      </c>
      <c r="M122" s="69" t="s">
        <v>38</v>
      </c>
      <c r="N122" s="70" t="s">
        <v>33</v>
      </c>
      <c r="O122" s="71">
        <v>10</v>
      </c>
      <c r="P122" s="72">
        <v>1</v>
      </c>
      <c r="Q122" s="73">
        <v>0.5</v>
      </c>
      <c r="R122" s="74">
        <f>PRODUCT(O122:Q122)</f>
        <v>5</v>
      </c>
      <c r="S122" s="75" t="str">
        <f>IF(R122&gt;400,"Insustentável (risco extremo)", IF(R122&gt;200,"Significativo (risco muito alto)", IF(R122&gt;70,"Significativo (alto risco)", IF(R122&gt;21,"Significativo (risco médio)", "Insignificante"))))</f>
        <v>Insignificante</v>
      </c>
      <c r="T122" s="67" t="s">
        <v>302</v>
      </c>
      <c r="U122" s="67" t="s">
        <v>303</v>
      </c>
      <c r="V122" s="67" t="s">
        <v>304</v>
      </c>
      <c r="W122" s="76">
        <v>10</v>
      </c>
      <c r="X122" s="72">
        <v>1</v>
      </c>
      <c r="Y122" s="73">
        <v>0.2</v>
      </c>
      <c r="Z122" s="77">
        <f>PRODUCT(W122:Y122)</f>
        <v>2</v>
      </c>
      <c r="AA122" s="75" t="str">
        <f>IF(Z122&gt;400,"Insustentável (risco extremo)", IF(Z122&gt;200,"Significativo (risco muito alto)", IF(Z122&gt;70,"Significativo (alto risco)", IF(Z122&gt;21,"Significativo (risco médio)", "Insignificante"))))</f>
        <v>Insignificante</v>
      </c>
      <c r="AB122" s="67" t="s">
        <v>331</v>
      </c>
    </row>
    <row r="123" spans="1:28" s="54" customFormat="1" ht="382.5" x14ac:dyDescent="1.1000000000000001">
      <c r="A123" s="50">
        <v>166</v>
      </c>
      <c r="B123" s="78" t="s">
        <v>124</v>
      </c>
      <c r="C123" s="67" t="s">
        <v>166</v>
      </c>
      <c r="D123" s="67" t="s">
        <v>28</v>
      </c>
      <c r="E123" s="79" t="s">
        <v>169</v>
      </c>
      <c r="F123" s="79" t="s">
        <v>54</v>
      </c>
      <c r="G123" s="79" t="s">
        <v>90</v>
      </c>
      <c r="H123" s="69" t="s">
        <v>37</v>
      </c>
      <c r="I123" s="69" t="s">
        <v>31</v>
      </c>
      <c r="J123" s="69" t="s">
        <v>32</v>
      </c>
      <c r="K123" s="69" t="s">
        <v>32</v>
      </c>
      <c r="L123" s="69" t="s">
        <v>33</v>
      </c>
      <c r="M123" s="69" t="s">
        <v>34</v>
      </c>
      <c r="N123" s="70" t="s">
        <v>43</v>
      </c>
      <c r="O123" s="71">
        <v>10</v>
      </c>
      <c r="P123" s="72">
        <v>1</v>
      </c>
      <c r="Q123" s="73">
        <v>0.5</v>
      </c>
      <c r="R123" s="74">
        <f>PRODUCT(O123:Q123)</f>
        <v>5</v>
      </c>
      <c r="S123" s="75" t="str">
        <f>IF(R123&gt;400,"Insustentável (risco extremo)", IF(R123&gt;200,"Significativo (risco muito alto)", IF(R123&gt;70,"Significativo (alto risco)", IF(R123&gt;21,"Significativo (risco médio)", "Insignificante"))))</f>
        <v>Insignificante</v>
      </c>
      <c r="T123" s="67" t="s">
        <v>283</v>
      </c>
      <c r="U123" s="67" t="s">
        <v>284</v>
      </c>
      <c r="V123" s="67" t="s">
        <v>285</v>
      </c>
      <c r="W123" s="76">
        <v>10</v>
      </c>
      <c r="X123" s="72">
        <v>1</v>
      </c>
      <c r="Y123" s="73">
        <v>0.2</v>
      </c>
      <c r="Z123" s="77">
        <f>PRODUCT(W123:Y123)</f>
        <v>2</v>
      </c>
      <c r="AA123" s="75" t="str">
        <f>IF(Z123&gt;400,"Insustentável (risco extremo)", IF(Z123&gt;200,"Significativo (risco muito alto)", IF(Z123&gt;70,"Significativo (alto risco)", IF(Z123&gt;21,"Significativo (risco médio)", "Insignificante"))))</f>
        <v>Insignificante</v>
      </c>
      <c r="AB123" s="67" t="s">
        <v>332</v>
      </c>
    </row>
    <row r="124" spans="1:28" s="54" customFormat="1" ht="382.5" x14ac:dyDescent="1.1000000000000001">
      <c r="A124" s="50">
        <v>168</v>
      </c>
      <c r="B124" s="78" t="s">
        <v>124</v>
      </c>
      <c r="C124" s="67" t="s">
        <v>166</v>
      </c>
      <c r="D124" s="67" t="s">
        <v>28</v>
      </c>
      <c r="E124" s="79" t="s">
        <v>168</v>
      </c>
      <c r="F124" s="79" t="s">
        <v>107</v>
      </c>
      <c r="G124" s="79" t="s">
        <v>193</v>
      </c>
      <c r="H124" s="69" t="s">
        <v>37</v>
      </c>
      <c r="I124" s="69" t="s">
        <v>31</v>
      </c>
      <c r="J124" s="69" t="s">
        <v>32</v>
      </c>
      <c r="K124" s="69" t="s">
        <v>32</v>
      </c>
      <c r="L124" s="69" t="s">
        <v>33</v>
      </c>
      <c r="M124" s="69" t="s">
        <v>34</v>
      </c>
      <c r="N124" s="70" t="s">
        <v>35</v>
      </c>
      <c r="O124" s="71">
        <v>10</v>
      </c>
      <c r="P124" s="72">
        <v>3</v>
      </c>
      <c r="Q124" s="73">
        <v>0.5</v>
      </c>
      <c r="R124" s="74">
        <f>PRODUCT(O124:Q124)</f>
        <v>15</v>
      </c>
      <c r="S124" s="75" t="str">
        <f>IF(R124&gt;400,"Insustentável (risco extremo)", IF(R124&gt;200,"Significativo (risco muito alto)", IF(R124&gt;70,"Significativo (alto risco)", IF(R124&gt;21,"Significativo (risco médio)", "Insignificante"))))</f>
        <v>Insignificante</v>
      </c>
      <c r="T124" s="67" t="s">
        <v>293</v>
      </c>
      <c r="U124" s="67" t="s">
        <v>294</v>
      </c>
      <c r="V124" s="67" t="s">
        <v>295</v>
      </c>
      <c r="W124" s="76">
        <v>10</v>
      </c>
      <c r="X124" s="72">
        <v>1</v>
      </c>
      <c r="Y124" s="73">
        <v>0.1</v>
      </c>
      <c r="Z124" s="77">
        <f>PRODUCT(W124:Y124)</f>
        <v>1</v>
      </c>
      <c r="AA124" s="75" t="str">
        <f>IF(Z124&gt;400,"Insustentável (risco extremo)", IF(Z124&gt;200,"Significativo (risco muito alto)", IF(Z124&gt;70,"Significativo (alto risco)", IF(Z124&gt;21,"Significativo (risco médio)", "Insignificante"))))</f>
        <v>Insignificante</v>
      </c>
      <c r="AB124" s="67" t="s">
        <v>38</v>
      </c>
    </row>
    <row r="125" spans="1:28" s="54" customFormat="1" ht="382.5" x14ac:dyDescent="1.1000000000000001">
      <c r="A125" s="50">
        <v>169</v>
      </c>
      <c r="B125" s="78" t="s">
        <v>124</v>
      </c>
      <c r="C125" s="67" t="s">
        <v>166</v>
      </c>
      <c r="D125" s="67" t="s">
        <v>28</v>
      </c>
      <c r="E125" s="79" t="s">
        <v>390</v>
      </c>
      <c r="F125" s="67" t="s">
        <v>365</v>
      </c>
      <c r="G125" s="67" t="s">
        <v>69</v>
      </c>
      <c r="H125" s="69" t="s">
        <v>37</v>
      </c>
      <c r="I125" s="69" t="s">
        <v>59</v>
      </c>
      <c r="J125" s="69" t="s">
        <v>32</v>
      </c>
      <c r="K125" s="69" t="s">
        <v>32</v>
      </c>
      <c r="L125" s="69" t="s">
        <v>33</v>
      </c>
      <c r="M125" s="69" t="s">
        <v>34</v>
      </c>
      <c r="N125" s="70" t="s">
        <v>35</v>
      </c>
      <c r="O125" s="71">
        <v>10</v>
      </c>
      <c r="P125" s="72">
        <v>3</v>
      </c>
      <c r="Q125" s="73">
        <v>0.5</v>
      </c>
      <c r="R125" s="74">
        <f>PRODUCT(O125:Q125)</f>
        <v>15</v>
      </c>
      <c r="S125" s="75" t="str">
        <f>IF(R125&gt;400,"Insustentável (risco extremo)", IF(R125&gt;200,"Significativo (risco muito alto)", IF(R125&gt;70,"Significativo (alto risco)", IF(R125&gt;21,"Significativo (risco médio)", "Insignificante"))))</f>
        <v>Insignificante</v>
      </c>
      <c r="T125" s="67" t="s">
        <v>271</v>
      </c>
      <c r="U125" s="67" t="s">
        <v>272</v>
      </c>
      <c r="V125" s="67" t="s">
        <v>273</v>
      </c>
      <c r="W125" s="76">
        <v>10</v>
      </c>
      <c r="X125" s="72">
        <v>3</v>
      </c>
      <c r="Y125" s="73">
        <v>0.2</v>
      </c>
      <c r="Z125" s="77">
        <f>PRODUCT(W125:Y125)</f>
        <v>6</v>
      </c>
      <c r="AA125" s="75" t="str">
        <f>IF(Z125&gt;400,"Insustentável (risco extremo)", IF(Z125&gt;200,"Significativo (risco muito alto)", IF(Z125&gt;70,"Significativo (alto risco)", IF(Z125&gt;21,"Significativo (risco médio)", "Insignificante"))))</f>
        <v>Insignificante</v>
      </c>
      <c r="AB125" s="67" t="s">
        <v>38</v>
      </c>
    </row>
    <row r="126" spans="1:28" s="54" customFormat="1" ht="382.5" x14ac:dyDescent="1.1000000000000001">
      <c r="A126" s="50">
        <v>170</v>
      </c>
      <c r="B126" s="78" t="s">
        <v>124</v>
      </c>
      <c r="C126" s="67" t="s">
        <v>166</v>
      </c>
      <c r="D126" s="67" t="s">
        <v>28</v>
      </c>
      <c r="E126" s="79" t="s">
        <v>175</v>
      </c>
      <c r="F126" s="67" t="s">
        <v>365</v>
      </c>
      <c r="G126" s="67" t="s">
        <v>69</v>
      </c>
      <c r="H126" s="69" t="s">
        <v>37</v>
      </c>
      <c r="I126" s="69" t="s">
        <v>31</v>
      </c>
      <c r="J126" s="69" t="s">
        <v>32</v>
      </c>
      <c r="K126" s="69" t="s">
        <v>32</v>
      </c>
      <c r="L126" s="69" t="s">
        <v>33</v>
      </c>
      <c r="M126" s="69" t="s">
        <v>34</v>
      </c>
      <c r="N126" s="70" t="s">
        <v>33</v>
      </c>
      <c r="O126" s="71">
        <v>6</v>
      </c>
      <c r="P126" s="72">
        <v>3</v>
      </c>
      <c r="Q126" s="73">
        <v>0.5</v>
      </c>
      <c r="R126" s="74">
        <f>PRODUCT(O126:Q126)</f>
        <v>9</v>
      </c>
      <c r="S126" s="75" t="str">
        <f>IF(R126&gt;400,"Insustentável (risco extremo)", IF(R126&gt;200,"Significativo (risco muito alto)", IF(R126&gt;70,"Significativo (alto risco)", IF(R126&gt;21,"Significativo (risco médio)", "Insignificante"))))</f>
        <v>Insignificante</v>
      </c>
      <c r="T126" s="67" t="s">
        <v>271</v>
      </c>
      <c r="U126" s="67" t="s">
        <v>272</v>
      </c>
      <c r="V126" s="67" t="s">
        <v>273</v>
      </c>
      <c r="W126" s="76">
        <v>6</v>
      </c>
      <c r="X126" s="72">
        <v>3</v>
      </c>
      <c r="Y126" s="73">
        <v>0.2</v>
      </c>
      <c r="Z126" s="77">
        <f>PRODUCT(W126:Y126)</f>
        <v>3.6</v>
      </c>
      <c r="AA126" s="75" t="str">
        <f>IF(Z126&gt;400,"Insustentável (risco extremo)", IF(Z126&gt;200,"Significativo (risco muito alto)", IF(Z126&gt;70,"Significativo (alto risco)", IF(Z126&gt;21,"Significativo (risco médio)", "Insignificante"))))</f>
        <v>Insignificante</v>
      </c>
      <c r="AB126" s="67" t="s">
        <v>46</v>
      </c>
    </row>
    <row r="127" spans="1:28" s="54" customFormat="1" ht="382.5" x14ac:dyDescent="1.1000000000000001">
      <c r="A127" s="50">
        <v>173</v>
      </c>
      <c r="B127" s="86" t="s">
        <v>26</v>
      </c>
      <c r="C127" s="80" t="s">
        <v>203</v>
      </c>
      <c r="D127" s="67" t="s">
        <v>28</v>
      </c>
      <c r="E127" s="80" t="s">
        <v>204</v>
      </c>
      <c r="F127" s="80" t="s">
        <v>365</v>
      </c>
      <c r="G127" s="80" t="s">
        <v>69</v>
      </c>
      <c r="H127" s="69" t="s">
        <v>37</v>
      </c>
      <c r="I127" s="69" t="s">
        <v>34</v>
      </c>
      <c r="J127" s="69" t="s">
        <v>32</v>
      </c>
      <c r="K127" s="69" t="s">
        <v>32</v>
      </c>
      <c r="L127" s="69" t="s">
        <v>33</v>
      </c>
      <c r="M127" s="69" t="s">
        <v>38</v>
      </c>
      <c r="N127" s="70" t="s">
        <v>33</v>
      </c>
      <c r="O127" s="71">
        <v>3</v>
      </c>
      <c r="P127" s="72">
        <v>3</v>
      </c>
      <c r="Q127" s="73">
        <v>0.5</v>
      </c>
      <c r="R127" s="74">
        <f>PRODUCT(O127:Q127)</f>
        <v>4.5</v>
      </c>
      <c r="S127" s="75" t="str">
        <f>IF(R127&gt;400,"Insustentável (risco extremo)", IF(R127&gt;200,"Significativo (risco muito alto)", IF(R127&gt;70,"Significativo (alto risco)", IF(R127&gt;21,"Significativo (risco médio)", "Insignificante"))))</f>
        <v>Insignificante</v>
      </c>
      <c r="T127" s="67" t="s">
        <v>387</v>
      </c>
      <c r="U127" s="80" t="s">
        <v>291</v>
      </c>
      <c r="V127" s="67" t="s">
        <v>273</v>
      </c>
      <c r="W127" s="83">
        <v>3</v>
      </c>
      <c r="X127" s="71">
        <v>1</v>
      </c>
      <c r="Y127" s="84">
        <v>0.2</v>
      </c>
      <c r="Z127" s="77">
        <f>PRODUCT(W127:Y127)</f>
        <v>0.60000000000000009</v>
      </c>
      <c r="AA127" s="75" t="str">
        <f>IF(Z127&gt;400,"Insustentável (risco extremo)", IF(Z127&gt;200,"Significativo (risco muito alto)", IF(Z127&gt;70,"Significativo (alto risco)", IF(Z127&gt;21,"Significativo (risco médio)", "Insignificante"))))</f>
        <v>Insignificante</v>
      </c>
      <c r="AB127" s="80" t="s">
        <v>46</v>
      </c>
    </row>
    <row r="128" spans="1:28" s="58" customFormat="1" ht="382.5" x14ac:dyDescent="1.1000000000000001">
      <c r="A128" s="50">
        <v>175</v>
      </c>
      <c r="B128" s="86" t="s">
        <v>26</v>
      </c>
      <c r="C128" s="80" t="s">
        <v>203</v>
      </c>
      <c r="D128" s="67" t="s">
        <v>28</v>
      </c>
      <c r="E128" s="80" t="s">
        <v>204</v>
      </c>
      <c r="F128" s="80" t="s">
        <v>54</v>
      </c>
      <c r="G128" s="80" t="s">
        <v>90</v>
      </c>
      <c r="H128" s="69" t="s">
        <v>37</v>
      </c>
      <c r="I128" s="69" t="s">
        <v>31</v>
      </c>
      <c r="J128" s="69" t="s">
        <v>32</v>
      </c>
      <c r="K128" s="69" t="s">
        <v>32</v>
      </c>
      <c r="L128" s="69" t="s">
        <v>33</v>
      </c>
      <c r="M128" s="69" t="s">
        <v>34</v>
      </c>
      <c r="N128" s="70" t="s">
        <v>33</v>
      </c>
      <c r="O128" s="71">
        <v>3</v>
      </c>
      <c r="P128" s="72">
        <v>1</v>
      </c>
      <c r="Q128" s="73">
        <v>0.5</v>
      </c>
      <c r="R128" s="74">
        <f>PRODUCT(O128:Q128)</f>
        <v>1.5</v>
      </c>
      <c r="S128" s="75" t="str">
        <f>IF(R128&gt;400,"Insustentável (risco extremo)", IF(R128&gt;200,"Significativo (risco muito alto)", IF(R128&gt;70,"Significativo (alto risco)", IF(R128&gt;21,"Significativo (risco médio)", "Insignificante"))))</f>
        <v>Insignificante</v>
      </c>
      <c r="T128" s="80" t="s">
        <v>283</v>
      </c>
      <c r="U128" s="80" t="s">
        <v>284</v>
      </c>
      <c r="V128" s="80" t="s">
        <v>285</v>
      </c>
      <c r="W128" s="83">
        <v>3</v>
      </c>
      <c r="X128" s="71">
        <v>1</v>
      </c>
      <c r="Y128" s="84">
        <v>0.2</v>
      </c>
      <c r="Z128" s="77">
        <f>PRODUCT(W128:Y128)</f>
        <v>0.60000000000000009</v>
      </c>
      <c r="AA128" s="75" t="str">
        <f>IF(Z128&gt;400,"Insustentável (risco extremo)", IF(Z128&gt;200,"Significativo (risco muito alto)", IF(Z128&gt;70,"Significativo (alto risco)", IF(Z128&gt;21,"Significativo (risco médio)", "Insignificante"))))</f>
        <v>Insignificante</v>
      </c>
      <c r="AB128" s="80" t="s">
        <v>332</v>
      </c>
    </row>
    <row r="129" spans="1:28" s="54" customFormat="1" ht="382.5" x14ac:dyDescent="1.1000000000000001">
      <c r="A129" s="50">
        <v>176</v>
      </c>
      <c r="B129" s="78" t="s">
        <v>131</v>
      </c>
      <c r="C129" s="67" t="s">
        <v>176</v>
      </c>
      <c r="D129" s="67" t="s">
        <v>28</v>
      </c>
      <c r="E129" s="67" t="s">
        <v>359</v>
      </c>
      <c r="F129" s="67" t="s">
        <v>149</v>
      </c>
      <c r="G129" s="67" t="s">
        <v>200</v>
      </c>
      <c r="H129" s="69" t="s">
        <v>37</v>
      </c>
      <c r="I129" s="69" t="s">
        <v>34</v>
      </c>
      <c r="J129" s="69" t="s">
        <v>32</v>
      </c>
      <c r="K129" s="69" t="s">
        <v>32</v>
      </c>
      <c r="L129" s="69" t="s">
        <v>33</v>
      </c>
      <c r="M129" s="69" t="s">
        <v>38</v>
      </c>
      <c r="N129" s="70" t="s">
        <v>35</v>
      </c>
      <c r="O129" s="71">
        <v>6</v>
      </c>
      <c r="P129" s="72">
        <v>3</v>
      </c>
      <c r="Q129" s="73">
        <v>3</v>
      </c>
      <c r="R129" s="74">
        <f>PRODUCT(O129:Q129)</f>
        <v>54</v>
      </c>
      <c r="S129" s="75" t="str">
        <f>IF(R129&gt;400,"Insustentável (risco extremo)", IF(R129&gt;200,"Significativo (risco muito alto)", IF(R129&gt;70,"Significativo (alto risco)", IF(R129&gt;21,"Significativo (risco médio)", "Insignificante"))))</f>
        <v>Significativo (risco médio)</v>
      </c>
      <c r="T129" s="67" t="s">
        <v>317</v>
      </c>
      <c r="U129" s="67" t="s">
        <v>318</v>
      </c>
      <c r="V129" s="67" t="s">
        <v>319</v>
      </c>
      <c r="W129" s="76">
        <v>2</v>
      </c>
      <c r="X129" s="72">
        <v>3</v>
      </c>
      <c r="Y129" s="73">
        <v>0.1</v>
      </c>
      <c r="Z129" s="77">
        <f>PRODUCT(W129:Y129)</f>
        <v>0.60000000000000009</v>
      </c>
      <c r="AA129" s="75" t="str">
        <f>IF(Z129&gt;400,"Insustentável (risco extremo)", IF(Z129&gt;200,"Significativo (risco muito alto)", IF(Z129&gt;70,"Significativo (alto risco)", IF(Z129&gt;21,"Significativo (risco médio)", "Insignificante"))))</f>
        <v>Insignificante</v>
      </c>
      <c r="AB129" s="67" t="s">
        <v>38</v>
      </c>
    </row>
    <row r="130" spans="1:28" s="54" customFormat="1" ht="382.5" x14ac:dyDescent="1.1000000000000001">
      <c r="A130" s="50">
        <v>178</v>
      </c>
      <c r="B130" s="78" t="s">
        <v>131</v>
      </c>
      <c r="C130" s="67" t="s">
        <v>176</v>
      </c>
      <c r="D130" s="67" t="s">
        <v>28</v>
      </c>
      <c r="E130" s="67" t="s">
        <v>359</v>
      </c>
      <c r="F130" s="79" t="s">
        <v>148</v>
      </c>
      <c r="G130" s="67" t="s">
        <v>90</v>
      </c>
      <c r="H130" s="69" t="s">
        <v>37</v>
      </c>
      <c r="I130" s="69" t="s">
        <v>34</v>
      </c>
      <c r="J130" s="69" t="s">
        <v>32</v>
      </c>
      <c r="K130" s="69" t="s">
        <v>32</v>
      </c>
      <c r="L130" s="69" t="s">
        <v>33</v>
      </c>
      <c r="M130" s="69" t="s">
        <v>38</v>
      </c>
      <c r="N130" s="70" t="s">
        <v>33</v>
      </c>
      <c r="O130" s="71">
        <v>6</v>
      </c>
      <c r="P130" s="72">
        <v>1</v>
      </c>
      <c r="Q130" s="73">
        <v>0.5</v>
      </c>
      <c r="R130" s="74">
        <f>PRODUCT(O130:Q130)</f>
        <v>3</v>
      </c>
      <c r="S130" s="75" t="str">
        <f>IF(R130&gt;400,"Insustentável (risco extremo)", IF(R130&gt;200,"Significativo (risco muito alto)", IF(R130&gt;70,"Significativo (alto risco)", IF(R130&gt;21,"Significativo (risco médio)", "Insignificante"))))</f>
        <v>Insignificante</v>
      </c>
      <c r="T130" s="67" t="s">
        <v>314</v>
      </c>
      <c r="U130" s="67" t="s">
        <v>315</v>
      </c>
      <c r="V130" s="67" t="s">
        <v>316</v>
      </c>
      <c r="W130" s="76">
        <v>10</v>
      </c>
      <c r="X130" s="72">
        <v>1</v>
      </c>
      <c r="Y130" s="73">
        <v>0.2</v>
      </c>
      <c r="Z130" s="77">
        <f>PRODUCT(W130:Y130)</f>
        <v>2</v>
      </c>
      <c r="AA130" s="75" t="str">
        <f>IF(Z130&gt;400,"Insustentável (risco extremo)", IF(Z130&gt;200,"Significativo (risco muito alto)", IF(Z130&gt;70,"Significativo (alto risco)", IF(Z130&gt;21,"Significativo (risco médio)", "Insignificante"))))</f>
        <v>Insignificante</v>
      </c>
      <c r="AB130" s="67" t="s">
        <v>332</v>
      </c>
    </row>
    <row r="131" spans="1:28" s="54" customFormat="1" ht="409.5" x14ac:dyDescent="1.1000000000000001">
      <c r="A131" s="50">
        <v>179</v>
      </c>
      <c r="B131" s="86" t="s">
        <v>73</v>
      </c>
      <c r="C131" s="80" t="s">
        <v>262</v>
      </c>
      <c r="D131" s="67" t="s">
        <v>28</v>
      </c>
      <c r="E131" s="80" t="s">
        <v>391</v>
      </c>
      <c r="F131" s="80" t="s">
        <v>137</v>
      </c>
      <c r="G131" s="80" t="s">
        <v>80</v>
      </c>
      <c r="H131" s="69" t="s">
        <v>37</v>
      </c>
      <c r="I131" s="69" t="s">
        <v>31</v>
      </c>
      <c r="J131" s="69" t="s">
        <v>32</v>
      </c>
      <c r="K131" s="69" t="s">
        <v>32</v>
      </c>
      <c r="L131" s="69" t="s">
        <v>33</v>
      </c>
      <c r="M131" s="69" t="s">
        <v>34</v>
      </c>
      <c r="N131" s="70" t="s">
        <v>33</v>
      </c>
      <c r="O131" s="83">
        <v>6</v>
      </c>
      <c r="P131" s="72">
        <v>3</v>
      </c>
      <c r="Q131" s="73">
        <v>1</v>
      </c>
      <c r="R131" s="74">
        <f>PRODUCT(O131:Q131)</f>
        <v>18</v>
      </c>
      <c r="S131" s="75" t="str">
        <f>IF(R131&gt;400,"Insustentável (risco extremo)", IF(R131&gt;200,"Significativo (risco muito alto)", IF(R131&gt;70,"Significativo (alto risco)", IF(R131&gt;21,"Significativo (risco médio)", "Insignificante"))))</f>
        <v>Insignificante</v>
      </c>
      <c r="T131" s="80" t="s">
        <v>290</v>
      </c>
      <c r="U131" s="80" t="s">
        <v>291</v>
      </c>
      <c r="V131" s="80" t="s">
        <v>292</v>
      </c>
      <c r="W131" s="83">
        <v>6</v>
      </c>
      <c r="X131" s="71">
        <v>3</v>
      </c>
      <c r="Y131" s="84">
        <v>0.5</v>
      </c>
      <c r="Z131" s="77">
        <f>PRODUCT(W131:Y131)</f>
        <v>9</v>
      </c>
      <c r="AA131" s="75" t="str">
        <f>IF(Z131&gt;400,"Insustentável (risco extremo)", IF(Z131&gt;200,"Significativo (risco muito alto)", IF(Z131&gt;70,"Significativo (alto risco)", IF(Z131&gt;21,"Significativo (risco médio)", "Insignificante"))))</f>
        <v>Insignificante</v>
      </c>
      <c r="AB131" s="80" t="s">
        <v>46</v>
      </c>
    </row>
    <row r="132" spans="1:28" s="54" customFormat="1" ht="382.5" x14ac:dyDescent="1.1000000000000001">
      <c r="A132" s="50">
        <v>180</v>
      </c>
      <c r="B132" s="86" t="s">
        <v>73</v>
      </c>
      <c r="C132" s="80" t="s">
        <v>262</v>
      </c>
      <c r="D132" s="67" t="s">
        <v>28</v>
      </c>
      <c r="E132" s="80" t="s">
        <v>263</v>
      </c>
      <c r="F132" s="80" t="s">
        <v>63</v>
      </c>
      <c r="G132" s="80" t="s">
        <v>80</v>
      </c>
      <c r="H132" s="69" t="s">
        <v>37</v>
      </c>
      <c r="I132" s="69" t="s">
        <v>31</v>
      </c>
      <c r="J132" s="69" t="s">
        <v>32</v>
      </c>
      <c r="K132" s="69" t="s">
        <v>32</v>
      </c>
      <c r="L132" s="69" t="s">
        <v>33</v>
      </c>
      <c r="M132" s="69" t="s">
        <v>34</v>
      </c>
      <c r="N132" s="70" t="s">
        <v>33</v>
      </c>
      <c r="O132" s="83">
        <v>6</v>
      </c>
      <c r="P132" s="72">
        <v>15</v>
      </c>
      <c r="Q132" s="73">
        <v>1</v>
      </c>
      <c r="R132" s="74">
        <f>PRODUCT(O132:Q132)</f>
        <v>90</v>
      </c>
      <c r="S132" s="75" t="str">
        <f>IF(R132&gt;400,"Insustentável (risco extremo)", IF(R132&gt;200,"Significativo (risco muito alto)", IF(R132&gt;70,"Significativo (alto risco)", IF(R132&gt;21,"Significativo (risco médio)", "Insignificante"))))</f>
        <v>Significativo (alto risco)</v>
      </c>
      <c r="T132" s="80" t="s">
        <v>286</v>
      </c>
      <c r="U132" s="80" t="s">
        <v>287</v>
      </c>
      <c r="V132" s="80" t="s">
        <v>288</v>
      </c>
      <c r="W132" s="83">
        <v>6</v>
      </c>
      <c r="X132" s="71">
        <v>3</v>
      </c>
      <c r="Y132" s="84">
        <v>0.5</v>
      </c>
      <c r="Z132" s="77">
        <f>PRODUCT(W132:Y132)</f>
        <v>9</v>
      </c>
      <c r="AA132" s="75" t="str">
        <f>IF(Z132&gt;400,"Insustentável (risco extremo)", IF(Z132&gt;200,"Significativo (risco muito alto)", IF(Z132&gt;70,"Significativo (alto risco)", IF(Z132&gt;21,"Significativo (risco médio)", "Insignificante"))))</f>
        <v>Insignificante</v>
      </c>
      <c r="AB132" s="80" t="s">
        <v>38</v>
      </c>
    </row>
    <row r="133" spans="1:28" s="54" customFormat="1" ht="382.5" x14ac:dyDescent="1.1000000000000001">
      <c r="A133" s="50">
        <v>182</v>
      </c>
      <c r="B133" s="78" t="s">
        <v>26</v>
      </c>
      <c r="C133" s="67" t="s">
        <v>356</v>
      </c>
      <c r="D133" s="67" t="s">
        <v>28</v>
      </c>
      <c r="E133" s="79" t="s">
        <v>102</v>
      </c>
      <c r="F133" s="67" t="s">
        <v>97</v>
      </c>
      <c r="G133" s="67" t="s">
        <v>80</v>
      </c>
      <c r="H133" s="69" t="s">
        <v>37</v>
      </c>
      <c r="I133" s="69" t="s">
        <v>31</v>
      </c>
      <c r="J133" s="69" t="s">
        <v>32</v>
      </c>
      <c r="K133" s="69" t="s">
        <v>32</v>
      </c>
      <c r="L133" s="69" t="s">
        <v>33</v>
      </c>
      <c r="M133" s="69" t="s">
        <v>38</v>
      </c>
      <c r="N133" s="70" t="s">
        <v>35</v>
      </c>
      <c r="O133" s="71">
        <v>10</v>
      </c>
      <c r="P133" s="72">
        <v>3</v>
      </c>
      <c r="Q133" s="73">
        <v>0.5</v>
      </c>
      <c r="R133" s="74">
        <f>PRODUCT(O133:Q133)</f>
        <v>15</v>
      </c>
      <c r="S133" s="75" t="str">
        <f>IF(R133&gt;400,"Insustentável (risco extremo)", IF(R133&gt;200,"Significativo (risco muito alto)", IF(R133&gt;70,"Significativo (alto risco)", IF(R133&gt;21,"Significativo (risco médio)", "Insignificante"))))</f>
        <v>Insignificante</v>
      </c>
      <c r="T133" s="67" t="s">
        <v>299</v>
      </c>
      <c r="U133" s="89" t="s">
        <v>300</v>
      </c>
      <c r="V133" s="67" t="s">
        <v>301</v>
      </c>
      <c r="W133" s="76">
        <v>10</v>
      </c>
      <c r="X133" s="72">
        <v>3</v>
      </c>
      <c r="Y133" s="73">
        <v>0.2</v>
      </c>
      <c r="Z133" s="77">
        <f>PRODUCT(W133:Y133)</f>
        <v>6</v>
      </c>
      <c r="AA133" s="75" t="str">
        <f>IF(Z133&gt;400,"Insustentável (risco extremo)", IF(Z133&gt;200,"Significativo (risco muito alto)", IF(Z133&gt;70,"Significativo (alto risco)", IF(Z133&gt;21,"Significativo (risco médio)", "Insignificante"))))</f>
        <v>Insignificante</v>
      </c>
      <c r="AB133" s="67" t="s">
        <v>38</v>
      </c>
    </row>
    <row r="134" spans="1:28" s="54" customFormat="1" ht="306" x14ac:dyDescent="1.1000000000000001">
      <c r="A134" s="50"/>
      <c r="B134" s="78" t="s">
        <v>26</v>
      </c>
      <c r="C134" s="67" t="s">
        <v>356</v>
      </c>
      <c r="D134" s="67" t="s">
        <v>28</v>
      </c>
      <c r="E134" s="79" t="s">
        <v>102</v>
      </c>
      <c r="F134" s="79" t="s">
        <v>103</v>
      </c>
      <c r="G134" s="67" t="s">
        <v>90</v>
      </c>
      <c r="H134" s="69" t="s">
        <v>37</v>
      </c>
      <c r="I134" s="69" t="s">
        <v>31</v>
      </c>
      <c r="J134" s="69" t="s">
        <v>32</v>
      </c>
      <c r="K134" s="69" t="s">
        <v>32</v>
      </c>
      <c r="L134" s="69" t="s">
        <v>33</v>
      </c>
      <c r="M134" s="69" t="s">
        <v>34</v>
      </c>
      <c r="N134" s="70" t="s">
        <v>43</v>
      </c>
      <c r="O134" s="71">
        <v>6</v>
      </c>
      <c r="P134" s="72">
        <v>1</v>
      </c>
      <c r="Q134" s="73">
        <v>0.5</v>
      </c>
      <c r="R134" s="74">
        <f>PRODUCT(O134:Q134)</f>
        <v>3</v>
      </c>
      <c r="S134" s="75" t="str">
        <f>IF(R134&gt;400,"Insustentável (risco extremo)", IF(R134&gt;200,"Significativo (risco muito alto)", IF(R134&gt;70,"Significativo (alto risco)", IF(R134&gt;21,"Significativo (risco médio)", "Insignificante"))))</f>
        <v>Insignificante</v>
      </c>
      <c r="T134" s="67" t="s">
        <v>305</v>
      </c>
      <c r="U134" s="67" t="s">
        <v>306</v>
      </c>
      <c r="V134" s="67" t="s">
        <v>307</v>
      </c>
      <c r="W134" s="76">
        <v>6</v>
      </c>
      <c r="X134" s="72">
        <v>1</v>
      </c>
      <c r="Y134" s="73">
        <v>0.2</v>
      </c>
      <c r="Z134" s="77">
        <f>PRODUCT(W134:Y134)</f>
        <v>1.2000000000000002</v>
      </c>
      <c r="AA134" s="75" t="str">
        <f>IF(Z134&gt;400,"Insustentável (risco extremo)", IF(Z134&gt;200,"Significativo (risco muito alto)", IF(Z134&gt;70,"Significativo (alto risco)", IF(Z134&gt;21,"Significativo (risco médio)", "Insignificante"))))</f>
        <v>Insignificante</v>
      </c>
      <c r="AB134" s="67" t="s">
        <v>46</v>
      </c>
    </row>
    <row r="135" spans="1:28" s="54" customFormat="1" ht="409.5" x14ac:dyDescent="1.1000000000000001">
      <c r="A135" s="50">
        <v>183</v>
      </c>
      <c r="B135" s="78" t="s">
        <v>26</v>
      </c>
      <c r="C135" s="67" t="s">
        <v>356</v>
      </c>
      <c r="D135" s="67" t="s">
        <v>28</v>
      </c>
      <c r="E135" s="79" t="s">
        <v>102</v>
      </c>
      <c r="F135" s="79" t="s">
        <v>104</v>
      </c>
      <c r="G135" s="67" t="s">
        <v>80</v>
      </c>
      <c r="H135" s="69" t="s">
        <v>32</v>
      </c>
      <c r="I135" s="69" t="s">
        <v>31</v>
      </c>
      <c r="J135" s="69" t="s">
        <v>32</v>
      </c>
      <c r="K135" s="69" t="s">
        <v>32</v>
      </c>
      <c r="L135" s="69" t="s">
        <v>33</v>
      </c>
      <c r="M135" s="69" t="s">
        <v>38</v>
      </c>
      <c r="N135" s="70" t="s">
        <v>35</v>
      </c>
      <c r="O135" s="71">
        <v>2</v>
      </c>
      <c r="P135" s="72">
        <v>7</v>
      </c>
      <c r="Q135" s="73">
        <v>0.5</v>
      </c>
      <c r="R135" s="74">
        <f>PRODUCT(O135:Q135)</f>
        <v>7</v>
      </c>
      <c r="S135" s="75" t="str">
        <f>IF(R135&gt;400,"Insustentável (risco extremo)", IF(R135&gt;200,"Significativo (risco muito alto)", IF(R135&gt;70,"Significativo (alto risco)", IF(R135&gt;21,"Significativo (risco médio)", "Insignificante"))))</f>
        <v>Insignificante</v>
      </c>
      <c r="T135" s="67" t="s">
        <v>290</v>
      </c>
      <c r="U135" s="67" t="s">
        <v>291</v>
      </c>
      <c r="V135" s="67" t="s">
        <v>292</v>
      </c>
      <c r="W135" s="76">
        <v>2</v>
      </c>
      <c r="X135" s="72">
        <v>3</v>
      </c>
      <c r="Y135" s="73">
        <v>0.2</v>
      </c>
      <c r="Z135" s="77">
        <f>PRODUCT(W135:Y135)</f>
        <v>1.2000000000000002</v>
      </c>
      <c r="AA135" s="75" t="str">
        <f>IF(Z135&gt;400,"Insustentável (risco extremo)", IF(Z135&gt;200,"Significativo (risco muito alto)", IF(Z135&gt;70,"Significativo (alto risco)", IF(Z135&gt;21,"Significativo (risco médio)", "Insignificante"))))</f>
        <v>Insignificante</v>
      </c>
      <c r="AB135" s="67" t="s">
        <v>46</v>
      </c>
    </row>
    <row r="136" spans="1:28" s="54" customFormat="1" ht="382.5" x14ac:dyDescent="1.1000000000000001">
      <c r="A136" s="50">
        <v>184</v>
      </c>
      <c r="B136" s="78" t="s">
        <v>26</v>
      </c>
      <c r="C136" s="67" t="s">
        <v>356</v>
      </c>
      <c r="D136" s="67" t="s">
        <v>28</v>
      </c>
      <c r="E136" s="79" t="s">
        <v>102</v>
      </c>
      <c r="F136" s="79" t="s">
        <v>65</v>
      </c>
      <c r="G136" s="67" t="s">
        <v>69</v>
      </c>
      <c r="H136" s="69" t="s">
        <v>37</v>
      </c>
      <c r="I136" s="69" t="s">
        <v>31</v>
      </c>
      <c r="J136" s="69" t="s">
        <v>32</v>
      </c>
      <c r="K136" s="69" t="s">
        <v>32</v>
      </c>
      <c r="L136" s="69" t="s">
        <v>33</v>
      </c>
      <c r="M136" s="69" t="s">
        <v>34</v>
      </c>
      <c r="N136" s="70" t="s">
        <v>33</v>
      </c>
      <c r="O136" s="71">
        <v>6</v>
      </c>
      <c r="P136" s="72">
        <v>3</v>
      </c>
      <c r="Q136" s="73">
        <v>0.5</v>
      </c>
      <c r="R136" s="74">
        <f>PRODUCT(O136:Q136)</f>
        <v>9</v>
      </c>
      <c r="S136" s="75" t="str">
        <f>IF(R136&gt;400,"Insustentável (risco extremo)", IF(R136&gt;200,"Significativo (risco muito alto)", IF(R136&gt;70,"Significativo (alto risco)", IF(R136&gt;21,"Significativo (risco médio)", "Insignificante"))))</f>
        <v>Insignificante</v>
      </c>
      <c r="T136" s="90" t="s">
        <v>387</v>
      </c>
      <c r="U136" s="67" t="s">
        <v>272</v>
      </c>
      <c r="V136" s="67" t="s">
        <v>273</v>
      </c>
      <c r="W136" s="76">
        <v>6</v>
      </c>
      <c r="X136" s="72">
        <v>3</v>
      </c>
      <c r="Y136" s="73">
        <v>0.1</v>
      </c>
      <c r="Z136" s="77">
        <f>PRODUCT(W136:Y136)</f>
        <v>1.8</v>
      </c>
      <c r="AA136" s="75" t="str">
        <f>IF(Z136&gt;400,"Insustentável (risco extremo)", IF(Z136&gt;200,"Significativo (risco muito alto)", IF(Z136&gt;70,"Significativo (alto risco)", IF(Z136&gt;21,"Significativo (risco médio)", "Insignificante"))))</f>
        <v>Insignificante</v>
      </c>
      <c r="AB136" s="67" t="s">
        <v>46</v>
      </c>
    </row>
    <row r="137" spans="1:28" s="54" customFormat="1" ht="382.5" x14ac:dyDescent="1.1000000000000001">
      <c r="A137" s="50">
        <v>185</v>
      </c>
      <c r="B137" s="81" t="s">
        <v>26</v>
      </c>
      <c r="C137" s="67" t="s">
        <v>356</v>
      </c>
      <c r="D137" s="67" t="s">
        <v>28</v>
      </c>
      <c r="E137" s="67" t="s">
        <v>363</v>
      </c>
      <c r="F137" s="79" t="s">
        <v>71</v>
      </c>
      <c r="G137" s="67" t="s">
        <v>69</v>
      </c>
      <c r="H137" s="69" t="s">
        <v>37</v>
      </c>
      <c r="I137" s="69" t="s">
        <v>31</v>
      </c>
      <c r="J137" s="69" t="s">
        <v>32</v>
      </c>
      <c r="K137" s="69" t="s">
        <v>32</v>
      </c>
      <c r="L137" s="69" t="s">
        <v>33</v>
      </c>
      <c r="M137" s="69" t="s">
        <v>34</v>
      </c>
      <c r="N137" s="70" t="s">
        <v>33</v>
      </c>
      <c r="O137" s="71">
        <v>6</v>
      </c>
      <c r="P137" s="72">
        <v>3</v>
      </c>
      <c r="Q137" s="73">
        <v>0.5</v>
      </c>
      <c r="R137" s="74">
        <f>PRODUCT(O137:Q137)</f>
        <v>9</v>
      </c>
      <c r="S137" s="75" t="str">
        <f>IF(R137&gt;400,"Insustentável (risco extremo)", IF(R137&gt;200,"Significativo (risco muito alto)", IF(R137&gt;70,"Significativo (alto risco)", IF(R137&gt;21,"Significativo (risco médio)", "Insignificante"))))</f>
        <v>Insignificante</v>
      </c>
      <c r="T137" s="67" t="s">
        <v>387</v>
      </c>
      <c r="U137" s="67" t="s">
        <v>278</v>
      </c>
      <c r="V137" s="67" t="s">
        <v>279</v>
      </c>
      <c r="W137" s="76">
        <v>6</v>
      </c>
      <c r="X137" s="72">
        <v>3</v>
      </c>
      <c r="Y137" s="73">
        <v>0.1</v>
      </c>
      <c r="Z137" s="77">
        <f>PRODUCT(W137:Y137)</f>
        <v>1.8</v>
      </c>
      <c r="AA137" s="75" t="str">
        <f>IF(Z137&gt;400,"Insustentável (risco extremo)", IF(Z137&gt;200,"Significativo (risco muito alto)", IF(Z137&gt;70,"Significativo (alto risco)", IF(Z137&gt;21,"Significativo (risco médio)", "Insignificante"))))</f>
        <v>Insignificante</v>
      </c>
      <c r="AB137" s="67" t="s">
        <v>46</v>
      </c>
    </row>
    <row r="138" spans="1:28" s="54" customFormat="1" ht="382.5" x14ac:dyDescent="1.1000000000000001">
      <c r="A138" s="50">
        <v>186</v>
      </c>
      <c r="B138" s="81" t="s">
        <v>26</v>
      </c>
      <c r="C138" s="67" t="s">
        <v>356</v>
      </c>
      <c r="D138" s="67" t="s">
        <v>28</v>
      </c>
      <c r="E138" s="79" t="s">
        <v>102</v>
      </c>
      <c r="F138" s="79" t="s">
        <v>71</v>
      </c>
      <c r="G138" s="67" t="s">
        <v>69</v>
      </c>
      <c r="H138" s="69" t="s">
        <v>37</v>
      </c>
      <c r="I138" s="69" t="s">
        <v>31</v>
      </c>
      <c r="J138" s="69" t="s">
        <v>32</v>
      </c>
      <c r="K138" s="69" t="s">
        <v>32</v>
      </c>
      <c r="L138" s="69" t="s">
        <v>33</v>
      </c>
      <c r="M138" s="69" t="s">
        <v>34</v>
      </c>
      <c r="N138" s="70" t="s">
        <v>33</v>
      </c>
      <c r="O138" s="71">
        <v>6</v>
      </c>
      <c r="P138" s="72">
        <v>3</v>
      </c>
      <c r="Q138" s="73">
        <v>0.5</v>
      </c>
      <c r="R138" s="74">
        <f>PRODUCT(O138:Q138)</f>
        <v>9</v>
      </c>
      <c r="S138" s="75" t="str">
        <f>IF(R138&gt;400,"Insustentável (risco extremo)", IF(R138&gt;200,"Significativo (risco muito alto)", IF(R138&gt;70,"Significativo (alto risco)", IF(R138&gt;21,"Significativo (risco médio)", "Insignificante"))))</f>
        <v>Insignificante</v>
      </c>
      <c r="T138" s="67" t="s">
        <v>387</v>
      </c>
      <c r="U138" s="67" t="s">
        <v>278</v>
      </c>
      <c r="V138" s="67" t="s">
        <v>279</v>
      </c>
      <c r="W138" s="76">
        <v>6</v>
      </c>
      <c r="X138" s="72">
        <v>3</v>
      </c>
      <c r="Y138" s="73">
        <v>0.1</v>
      </c>
      <c r="Z138" s="77">
        <f>PRODUCT(W138:Y138)</f>
        <v>1.8</v>
      </c>
      <c r="AA138" s="75" t="str">
        <f>IF(Z138&gt;400,"Insustentável (risco extremo)", IF(Z138&gt;200,"Significativo (risco muito alto)", IF(Z138&gt;70,"Significativo (alto risco)", IF(Z138&gt;21,"Significativo (risco médio)", "Insignificante"))))</f>
        <v>Insignificante</v>
      </c>
      <c r="AB138" s="67" t="s">
        <v>46</v>
      </c>
    </row>
    <row r="139" spans="1:28" s="54" customFormat="1" ht="409.5" x14ac:dyDescent="1.1000000000000001">
      <c r="A139" s="50">
        <v>188</v>
      </c>
      <c r="B139" s="69" t="s">
        <v>26</v>
      </c>
      <c r="C139" s="67" t="s">
        <v>356</v>
      </c>
      <c r="D139" s="67" t="s">
        <v>28</v>
      </c>
      <c r="E139" s="79" t="s">
        <v>111</v>
      </c>
      <c r="F139" s="79" t="s">
        <v>137</v>
      </c>
      <c r="G139" s="67" t="s">
        <v>80</v>
      </c>
      <c r="H139" s="69" t="s">
        <v>37</v>
      </c>
      <c r="I139" s="69" t="s">
        <v>31</v>
      </c>
      <c r="J139" s="69" t="s">
        <v>32</v>
      </c>
      <c r="K139" s="69" t="s">
        <v>32</v>
      </c>
      <c r="L139" s="69" t="s">
        <v>33</v>
      </c>
      <c r="M139" s="69" t="s">
        <v>38</v>
      </c>
      <c r="N139" s="70" t="s">
        <v>43</v>
      </c>
      <c r="O139" s="71">
        <v>2</v>
      </c>
      <c r="P139" s="72">
        <v>3</v>
      </c>
      <c r="Q139" s="73">
        <v>0.2</v>
      </c>
      <c r="R139" s="74">
        <f>PRODUCT(O139:Q139)</f>
        <v>1.2000000000000002</v>
      </c>
      <c r="S139" s="75" t="str">
        <f>IF(R139&gt;400,"Insustentável (risco extremo)", IF(R139&gt;200,"Significativo (risco muito alto)", IF(R139&gt;70,"Significativo (alto risco)", IF(R139&gt;21,"Significativo (risco médio)", "Insignificante"))))</f>
        <v>Insignificante</v>
      </c>
      <c r="T139" s="67" t="s">
        <v>290</v>
      </c>
      <c r="U139" s="67" t="s">
        <v>291</v>
      </c>
      <c r="V139" s="67" t="s">
        <v>292</v>
      </c>
      <c r="W139" s="76">
        <v>2</v>
      </c>
      <c r="X139" s="72">
        <v>3</v>
      </c>
      <c r="Y139" s="73">
        <v>0.1</v>
      </c>
      <c r="Z139" s="77">
        <f>PRODUCT(W139:Y139)</f>
        <v>0.60000000000000009</v>
      </c>
      <c r="AA139" s="75" t="str">
        <f>IF(Z139&gt;400,"Insustentável (risco extremo)", IF(Z139&gt;200,"Significativo (risco muito alto)", IF(Z139&gt;70,"Significativo (alto risco)", IF(Z139&gt;21,"Significativo (risco médio)", "Insignificante"))))</f>
        <v>Insignificante</v>
      </c>
      <c r="AB139" s="67" t="s">
        <v>46</v>
      </c>
    </row>
    <row r="140" spans="1:28" s="54" customFormat="1" ht="382.5" x14ac:dyDescent="1.1000000000000001">
      <c r="A140" s="50">
        <v>190</v>
      </c>
      <c r="B140" s="69" t="s">
        <v>26</v>
      </c>
      <c r="C140" s="67" t="s">
        <v>177</v>
      </c>
      <c r="D140" s="67" t="s">
        <v>28</v>
      </c>
      <c r="E140" s="67" t="s">
        <v>361</v>
      </c>
      <c r="F140" s="79" t="s">
        <v>343</v>
      </c>
      <c r="G140" s="67" t="s">
        <v>69</v>
      </c>
      <c r="H140" s="69" t="s">
        <v>37</v>
      </c>
      <c r="I140" s="69" t="s">
        <v>31</v>
      </c>
      <c r="J140" s="69" t="s">
        <v>32</v>
      </c>
      <c r="K140" s="69" t="s">
        <v>32</v>
      </c>
      <c r="L140" s="69" t="s">
        <v>33</v>
      </c>
      <c r="M140" s="69" t="s">
        <v>34</v>
      </c>
      <c r="N140" s="70" t="s">
        <v>43</v>
      </c>
      <c r="O140" s="71">
        <v>10</v>
      </c>
      <c r="P140" s="72">
        <v>3</v>
      </c>
      <c r="Q140" s="73">
        <v>0.5</v>
      </c>
      <c r="R140" s="74">
        <f>PRODUCT(O140:Q140)</f>
        <v>15</v>
      </c>
      <c r="S140" s="75" t="str">
        <f>IF(R140&gt;400,"Insustentável (risco extremo)", IF(R140&gt;200,"Significativo (risco muito alto)", IF(R140&gt;70,"Significativo (alto risco)", IF(R140&gt;21,"Significativo (risco médio)", "Insignificante"))))</f>
        <v>Insignificante</v>
      </c>
      <c r="T140" s="67" t="s">
        <v>271</v>
      </c>
      <c r="U140" s="80" t="s">
        <v>272</v>
      </c>
      <c r="V140" s="67" t="s">
        <v>273</v>
      </c>
      <c r="W140" s="76">
        <v>10</v>
      </c>
      <c r="X140" s="72">
        <v>3</v>
      </c>
      <c r="Y140" s="73">
        <v>0.2</v>
      </c>
      <c r="Z140" s="77">
        <f>PRODUCT(W140:Y140)</f>
        <v>6</v>
      </c>
      <c r="AA140" s="75" t="str">
        <f>IF(Z140&gt;400,"Insustentável (risco extremo)", IF(Z140&gt;200,"Significativo (risco muito alto)", IF(Z140&gt;70,"Significativo (alto risco)", IF(Z140&gt;21,"Significativo (risco médio)", "Insignificante"))))</f>
        <v>Insignificante</v>
      </c>
      <c r="AB140" s="67" t="s">
        <v>46</v>
      </c>
    </row>
    <row r="141" spans="1:28" s="54" customFormat="1" ht="382.5" x14ac:dyDescent="1.1000000000000001">
      <c r="A141" s="50">
        <v>192</v>
      </c>
      <c r="B141" s="69" t="s">
        <v>26</v>
      </c>
      <c r="C141" s="67" t="s">
        <v>177</v>
      </c>
      <c r="D141" s="67" t="s">
        <v>28</v>
      </c>
      <c r="E141" s="67" t="s">
        <v>179</v>
      </c>
      <c r="F141" s="79" t="s">
        <v>36</v>
      </c>
      <c r="G141" s="67" t="s">
        <v>198</v>
      </c>
      <c r="H141" s="69" t="s">
        <v>37</v>
      </c>
      <c r="I141" s="69" t="s">
        <v>31</v>
      </c>
      <c r="J141" s="69" t="s">
        <v>32</v>
      </c>
      <c r="K141" s="69" t="s">
        <v>32</v>
      </c>
      <c r="L141" s="69" t="s">
        <v>33</v>
      </c>
      <c r="M141" s="69" t="s">
        <v>30</v>
      </c>
      <c r="N141" s="70" t="s">
        <v>35</v>
      </c>
      <c r="O141" s="71">
        <v>10</v>
      </c>
      <c r="P141" s="72">
        <v>15</v>
      </c>
      <c r="Q141" s="73">
        <v>3</v>
      </c>
      <c r="R141" s="74">
        <f>PRODUCT(O141:Q141)</f>
        <v>450</v>
      </c>
      <c r="S141" s="75" t="str">
        <f>IF(R141&gt;400,"Insustentável (risco extremo)", IF(R141&gt;200,"Significativo (risco muito alto)", IF(R141&gt;70,"Significativo (alto risco)", IF(R141&gt;21,"Significativo (risco médio)", "Insignificante"))))</f>
        <v>Insustentável (risco extremo)</v>
      </c>
      <c r="T141" s="67" t="s">
        <v>268</v>
      </c>
      <c r="U141" s="67" t="s">
        <v>269</v>
      </c>
      <c r="V141" s="67" t="s">
        <v>270</v>
      </c>
      <c r="W141" s="76">
        <v>10</v>
      </c>
      <c r="X141" s="72">
        <v>3</v>
      </c>
      <c r="Y141" s="73">
        <v>1</v>
      </c>
      <c r="Z141" s="77">
        <f>PRODUCT(W141:Y141)</f>
        <v>30</v>
      </c>
      <c r="AA141" s="75" t="str">
        <f>IF(Z141&gt;400,"Insustentável (risco extremo)", IF(Z141&gt;200,"Significativo (risco muito alto)", IF(Z141&gt;70,"Significativo (alto risco)", IF(Z141&gt;21,"Significativo (risco médio)", "Insignificante"))))</f>
        <v>Significativo (risco médio)</v>
      </c>
      <c r="AB141" s="67" t="s">
        <v>39</v>
      </c>
    </row>
    <row r="142" spans="1:28" s="54" customFormat="1" ht="382.5" x14ac:dyDescent="1.1000000000000001">
      <c r="A142" s="50"/>
      <c r="B142" s="81" t="s">
        <v>26</v>
      </c>
      <c r="C142" s="67" t="s">
        <v>177</v>
      </c>
      <c r="D142" s="67" t="s">
        <v>28</v>
      </c>
      <c r="E142" s="67" t="s">
        <v>179</v>
      </c>
      <c r="F142" s="79" t="s">
        <v>42</v>
      </c>
      <c r="G142" s="67" t="s">
        <v>80</v>
      </c>
      <c r="H142" s="69" t="s">
        <v>30</v>
      </c>
      <c r="I142" s="69" t="s">
        <v>31</v>
      </c>
      <c r="J142" s="69" t="s">
        <v>32</v>
      </c>
      <c r="K142" s="69" t="s">
        <v>32</v>
      </c>
      <c r="L142" s="69" t="s">
        <v>33</v>
      </c>
      <c r="M142" s="69" t="s">
        <v>34</v>
      </c>
      <c r="N142" s="70" t="s">
        <v>43</v>
      </c>
      <c r="O142" s="71">
        <v>10</v>
      </c>
      <c r="P142" s="72">
        <v>3</v>
      </c>
      <c r="Q142" s="73">
        <v>1</v>
      </c>
      <c r="R142" s="74">
        <f>PRODUCT(O142:Q142)</f>
        <v>30</v>
      </c>
      <c r="S142" s="75" t="str">
        <f>IF(R142&gt;400,"Insustentável (risco extremo)", IF(R142&gt;200,"Significativo (risco muito alto)", IF(R142&gt;70,"Significativo (alto risco)", IF(R142&gt;21,"Significativo (risco médio)", "Insignificante"))))</f>
        <v>Significativo (risco médio)</v>
      </c>
      <c r="T142" s="67" t="s">
        <v>274</v>
      </c>
      <c r="U142" s="67" t="s">
        <v>275</v>
      </c>
      <c r="V142" s="67" t="s">
        <v>276</v>
      </c>
      <c r="W142" s="76">
        <v>10</v>
      </c>
      <c r="X142" s="72">
        <v>3</v>
      </c>
      <c r="Y142" s="73">
        <v>0.5</v>
      </c>
      <c r="Z142" s="77">
        <f>PRODUCT(W142:Y142)</f>
        <v>15</v>
      </c>
      <c r="AA142" s="75" t="str">
        <f>IF(Z142&gt;400,"Insustentável (risco extremo)", IF(Z142&gt;200,"Significativo (risco muito alto)", IF(Z142&gt;70,"Significativo (alto risco)", IF(Z142&gt;21,"Significativo (risco médio)", "Insignificante"))))</f>
        <v>Insignificante</v>
      </c>
      <c r="AB142" s="67" t="s">
        <v>62</v>
      </c>
    </row>
    <row r="143" spans="1:28" s="54" customFormat="1" ht="382.5" x14ac:dyDescent="1.1000000000000001">
      <c r="A143" s="50">
        <v>193</v>
      </c>
      <c r="B143" s="81" t="s">
        <v>26</v>
      </c>
      <c r="C143" s="67" t="s">
        <v>177</v>
      </c>
      <c r="D143" s="67" t="s">
        <v>28</v>
      </c>
      <c r="E143" s="67" t="s">
        <v>180</v>
      </c>
      <c r="F143" s="79" t="s">
        <v>389</v>
      </c>
      <c r="G143" s="67" t="s">
        <v>80</v>
      </c>
      <c r="H143" s="69" t="s">
        <v>37</v>
      </c>
      <c r="I143" s="69" t="s">
        <v>31</v>
      </c>
      <c r="J143" s="69" t="s">
        <v>32</v>
      </c>
      <c r="K143" s="69" t="s">
        <v>32</v>
      </c>
      <c r="L143" s="69" t="s">
        <v>33</v>
      </c>
      <c r="M143" s="69" t="s">
        <v>34</v>
      </c>
      <c r="N143" s="70" t="s">
        <v>43</v>
      </c>
      <c r="O143" s="71">
        <v>6</v>
      </c>
      <c r="P143" s="72">
        <v>3</v>
      </c>
      <c r="Q143" s="73">
        <v>1</v>
      </c>
      <c r="R143" s="74">
        <f>PRODUCT(O143:Q143)</f>
        <v>18</v>
      </c>
      <c r="S143" s="75" t="str">
        <f>IF(R143&gt;400,"Insustentável (risco extremo)", IF(R143&gt;200,"Significativo (risco muito alto)", IF(R143&gt;70,"Significativo (alto risco)", IF(R143&gt;21,"Significativo (risco médio)", "Insignificante"))))</f>
        <v>Insignificante</v>
      </c>
      <c r="T143" s="67" t="s">
        <v>299</v>
      </c>
      <c r="U143" s="67" t="s">
        <v>300</v>
      </c>
      <c r="V143" s="67" t="s">
        <v>301</v>
      </c>
      <c r="W143" s="76">
        <v>6</v>
      </c>
      <c r="X143" s="72">
        <v>3</v>
      </c>
      <c r="Y143" s="73">
        <v>0.5</v>
      </c>
      <c r="Z143" s="77">
        <f>PRODUCT(W143:Y143)</f>
        <v>9</v>
      </c>
      <c r="AA143" s="75" t="str">
        <f>IF(Z143&gt;400,"Insustentável (risco extremo)", IF(Z143&gt;200,"Significativo (risco muito alto)", IF(Z143&gt;70,"Significativo (alto risco)", IF(Z143&gt;21,"Significativo (risco médio)", "Insignificante"))))</f>
        <v>Insignificante</v>
      </c>
      <c r="AB143" s="67" t="s">
        <v>62</v>
      </c>
    </row>
    <row r="144" spans="1:28" s="54" customFormat="1" ht="409.5" x14ac:dyDescent="1.1000000000000001">
      <c r="A144" s="50">
        <v>197</v>
      </c>
      <c r="B144" s="78" t="s">
        <v>26</v>
      </c>
      <c r="C144" s="67" t="s">
        <v>177</v>
      </c>
      <c r="D144" s="67" t="s">
        <v>28</v>
      </c>
      <c r="E144" s="67" t="s">
        <v>180</v>
      </c>
      <c r="F144" s="79" t="s">
        <v>137</v>
      </c>
      <c r="G144" s="67" t="s">
        <v>80</v>
      </c>
      <c r="H144" s="69" t="s">
        <v>37</v>
      </c>
      <c r="I144" s="69" t="s">
        <v>31</v>
      </c>
      <c r="J144" s="69" t="s">
        <v>32</v>
      </c>
      <c r="K144" s="69" t="s">
        <v>32</v>
      </c>
      <c r="L144" s="69" t="s">
        <v>33</v>
      </c>
      <c r="M144" s="69" t="s">
        <v>34</v>
      </c>
      <c r="N144" s="70" t="s">
        <v>43</v>
      </c>
      <c r="O144" s="71">
        <v>6</v>
      </c>
      <c r="P144" s="72">
        <v>3</v>
      </c>
      <c r="Q144" s="73">
        <v>1</v>
      </c>
      <c r="R144" s="74">
        <f>PRODUCT(O144:Q144)</f>
        <v>18</v>
      </c>
      <c r="S144" s="75" t="str">
        <f>IF(R144&gt;400,"Insustentável (risco extremo)", IF(R144&gt;200,"Significativo (risco muito alto)", IF(R144&gt;70,"Significativo (alto risco)", IF(R144&gt;21,"Significativo (risco médio)", "Insignificante"))))</f>
        <v>Insignificante</v>
      </c>
      <c r="T144" s="67" t="s">
        <v>290</v>
      </c>
      <c r="U144" s="67" t="s">
        <v>291</v>
      </c>
      <c r="V144" s="67" t="s">
        <v>292</v>
      </c>
      <c r="W144" s="76">
        <v>6</v>
      </c>
      <c r="X144" s="72">
        <v>3</v>
      </c>
      <c r="Y144" s="73">
        <v>0.5</v>
      </c>
      <c r="Z144" s="77">
        <f>PRODUCT(W144:Y144)</f>
        <v>9</v>
      </c>
      <c r="AA144" s="75" t="str">
        <f>IF(Z144&gt;400,"Insustentável (risco extremo)", IF(Z144&gt;200,"Significativo (risco muito alto)", IF(Z144&gt;70,"Significativo (alto risco)", IF(Z144&gt;21,"Significativo (risco médio)", "Insignificante"))))</f>
        <v>Insignificante</v>
      </c>
      <c r="AB144" s="67" t="s">
        <v>46</v>
      </c>
    </row>
    <row r="145" spans="1:29" s="54" customFormat="1" ht="382.5" x14ac:dyDescent="1.1000000000000001">
      <c r="A145" s="53">
        <v>201</v>
      </c>
      <c r="B145" s="85" t="s">
        <v>26</v>
      </c>
      <c r="C145" s="67" t="s">
        <v>177</v>
      </c>
      <c r="D145" s="67" t="s">
        <v>28</v>
      </c>
      <c r="E145" s="67" t="s">
        <v>181</v>
      </c>
      <c r="F145" s="79" t="s">
        <v>99</v>
      </c>
      <c r="G145" s="67" t="s">
        <v>90</v>
      </c>
      <c r="H145" s="69" t="s">
        <v>37</v>
      </c>
      <c r="I145" s="69" t="s">
        <v>31</v>
      </c>
      <c r="J145" s="69" t="s">
        <v>32</v>
      </c>
      <c r="K145" s="69" t="s">
        <v>32</v>
      </c>
      <c r="L145" s="69" t="s">
        <v>33</v>
      </c>
      <c r="M145" s="69" t="s">
        <v>34</v>
      </c>
      <c r="N145" s="70" t="s">
        <v>33</v>
      </c>
      <c r="O145" s="71">
        <v>10</v>
      </c>
      <c r="P145" s="72">
        <v>1</v>
      </c>
      <c r="Q145" s="73">
        <v>0.5</v>
      </c>
      <c r="R145" s="74">
        <f>PRODUCT(O145:Q145)</f>
        <v>5</v>
      </c>
      <c r="S145" s="75" t="str">
        <f>IF(R145&gt;400,"Insustentável (risco extremo)", IF(R145&gt;200,"Significativo (risco muito alto)", IF(R145&gt;70,"Significativo (alto risco)", IF(R145&gt;21,"Significativo (risco médio)", "Insignificante"))))</f>
        <v>Insignificante</v>
      </c>
      <c r="T145" s="67" t="s">
        <v>302</v>
      </c>
      <c r="U145" s="67" t="s">
        <v>303</v>
      </c>
      <c r="V145" s="67" t="s">
        <v>304</v>
      </c>
      <c r="W145" s="76">
        <v>10</v>
      </c>
      <c r="X145" s="72">
        <v>1</v>
      </c>
      <c r="Y145" s="73">
        <v>0.2</v>
      </c>
      <c r="Z145" s="77">
        <f>PRODUCT(W145:Y145)</f>
        <v>2</v>
      </c>
      <c r="AA145" s="75" t="str">
        <f>IF(Z145&gt;400,"Insustentável (risco extremo)", IF(Z145&gt;200,"Significativo (risco muito alto)", IF(Z145&gt;70,"Significativo (alto risco)", IF(Z145&gt;21,"Significativo (risco médio)", "Insignificante"))))</f>
        <v>Insignificante</v>
      </c>
      <c r="AB145" s="67" t="s">
        <v>331</v>
      </c>
      <c r="AC145" s="59"/>
    </row>
    <row r="146" spans="1:29" s="54" customFormat="1" ht="382.5" x14ac:dyDescent="1.1000000000000001">
      <c r="A146" s="53">
        <v>202</v>
      </c>
      <c r="B146" s="81" t="s">
        <v>26</v>
      </c>
      <c r="C146" s="67" t="s">
        <v>177</v>
      </c>
      <c r="D146" s="67" t="s">
        <v>28</v>
      </c>
      <c r="E146" s="67" t="s">
        <v>183</v>
      </c>
      <c r="F146" s="79" t="s">
        <v>343</v>
      </c>
      <c r="G146" s="67" t="s">
        <v>69</v>
      </c>
      <c r="H146" s="69" t="s">
        <v>32</v>
      </c>
      <c r="I146" s="69" t="s">
        <v>31</v>
      </c>
      <c r="J146" s="69" t="s">
        <v>32</v>
      </c>
      <c r="K146" s="69" t="s">
        <v>32</v>
      </c>
      <c r="L146" s="69" t="s">
        <v>33</v>
      </c>
      <c r="M146" s="69" t="s">
        <v>34</v>
      </c>
      <c r="N146" s="70" t="s">
        <v>35</v>
      </c>
      <c r="O146" s="71">
        <v>3</v>
      </c>
      <c r="P146" s="72">
        <v>3</v>
      </c>
      <c r="Q146" s="73">
        <v>0.5</v>
      </c>
      <c r="R146" s="74">
        <f>PRODUCT(O146:Q146)</f>
        <v>4.5</v>
      </c>
      <c r="S146" s="75" t="str">
        <f>IF(R146&gt;400,"Insustentável (risco extremo)", IF(R146&gt;200,"Significativo (risco muito alto)", IF(R146&gt;70,"Significativo (alto risco)", IF(R146&gt;21,"Significativo (risco médio)", "Insignificante"))))</f>
        <v>Insignificante</v>
      </c>
      <c r="T146" s="67" t="s">
        <v>271</v>
      </c>
      <c r="U146" s="67" t="s">
        <v>272</v>
      </c>
      <c r="V146" s="67" t="s">
        <v>273</v>
      </c>
      <c r="W146" s="76">
        <v>3</v>
      </c>
      <c r="X146" s="72">
        <v>1</v>
      </c>
      <c r="Y146" s="72">
        <v>0.5</v>
      </c>
      <c r="Z146" s="77">
        <f>PRODUCT(W146:Y146)</f>
        <v>1.5</v>
      </c>
      <c r="AA146" s="75" t="str">
        <f>IF(Z146&gt;400,"Insustentável (risco extremo)", IF(Z146&gt;200,"Significativo (risco muito alto)", IF(Z146&gt;70,"Significativo (alto risco)", IF(Z146&gt;21,"Significativo (risco médio)", "Insignificante"))))</f>
        <v>Insignificante</v>
      </c>
      <c r="AB146" s="67" t="s">
        <v>46</v>
      </c>
      <c r="AC146" s="59"/>
    </row>
    <row r="147" spans="1:29" s="54" customFormat="1" ht="382.5" x14ac:dyDescent="1.1000000000000001">
      <c r="A147" s="53">
        <v>203</v>
      </c>
      <c r="B147" s="81" t="s">
        <v>26</v>
      </c>
      <c r="C147" s="67" t="s">
        <v>177</v>
      </c>
      <c r="D147" s="67" t="s">
        <v>28</v>
      </c>
      <c r="E147" s="67" t="s">
        <v>182</v>
      </c>
      <c r="F147" s="79" t="s">
        <v>393</v>
      </c>
      <c r="G147" s="67" t="s">
        <v>69</v>
      </c>
      <c r="H147" s="69" t="s">
        <v>37</v>
      </c>
      <c r="I147" s="69" t="s">
        <v>31</v>
      </c>
      <c r="J147" s="69" t="s">
        <v>32</v>
      </c>
      <c r="K147" s="69" t="s">
        <v>32</v>
      </c>
      <c r="L147" s="69" t="s">
        <v>33</v>
      </c>
      <c r="M147" s="69" t="s">
        <v>34</v>
      </c>
      <c r="N147" s="70" t="s">
        <v>33</v>
      </c>
      <c r="O147" s="71">
        <v>10</v>
      </c>
      <c r="P147" s="72">
        <v>3</v>
      </c>
      <c r="Q147" s="73">
        <v>0.5</v>
      </c>
      <c r="R147" s="74">
        <f>PRODUCT(O147:Q147)</f>
        <v>15</v>
      </c>
      <c r="S147" s="75" t="str">
        <f>IF(R147&gt;400,"Insustentável (risco extremo)", IF(R147&gt;200,"Significativo (risco muito alto)", IF(R147&gt;70,"Significativo (alto risco)", IF(R147&gt;21,"Significativo (risco médio)", "Insignificante"))))</f>
        <v>Insignificante</v>
      </c>
      <c r="T147" s="67" t="s">
        <v>308</v>
      </c>
      <c r="U147" s="67" t="s">
        <v>309</v>
      </c>
      <c r="V147" s="67" t="s">
        <v>310</v>
      </c>
      <c r="W147" s="76">
        <v>10</v>
      </c>
      <c r="X147" s="72">
        <v>1</v>
      </c>
      <c r="Y147" s="73">
        <v>0.2</v>
      </c>
      <c r="Z147" s="77">
        <f>PRODUCT(W147:Y147)</f>
        <v>2</v>
      </c>
      <c r="AA147" s="75" t="str">
        <f>IF(Z147&gt;400,"Insustentável (risco extremo)", IF(Z147&gt;200,"Significativo (risco muito alto)", IF(Z147&gt;70,"Significativo (alto risco)", IF(Z147&gt;21,"Significativo (risco médio)", "Insignificante"))))</f>
        <v>Insignificante</v>
      </c>
      <c r="AB147" s="67" t="s">
        <v>46</v>
      </c>
      <c r="AC147" s="59"/>
    </row>
    <row r="148" spans="1:29" s="54" customFormat="1" ht="382.5" x14ac:dyDescent="1.1000000000000001">
      <c r="A148" s="53">
        <v>205</v>
      </c>
      <c r="B148" s="81" t="s">
        <v>26</v>
      </c>
      <c r="C148" s="67" t="s">
        <v>177</v>
      </c>
      <c r="D148" s="67" t="s">
        <v>28</v>
      </c>
      <c r="E148" s="67" t="s">
        <v>182</v>
      </c>
      <c r="F148" s="79" t="s">
        <v>117</v>
      </c>
      <c r="G148" s="67" t="s">
        <v>200</v>
      </c>
      <c r="H148" s="69" t="s">
        <v>37</v>
      </c>
      <c r="I148" s="69" t="s">
        <v>31</v>
      </c>
      <c r="J148" s="69" t="s">
        <v>32</v>
      </c>
      <c r="K148" s="69" t="s">
        <v>32</v>
      </c>
      <c r="L148" s="69" t="s">
        <v>33</v>
      </c>
      <c r="M148" s="69" t="s">
        <v>34</v>
      </c>
      <c r="N148" s="70" t="s">
        <v>33</v>
      </c>
      <c r="O148" s="71">
        <v>10</v>
      </c>
      <c r="P148" s="72">
        <v>3</v>
      </c>
      <c r="Q148" s="73">
        <v>1</v>
      </c>
      <c r="R148" s="74">
        <f>PRODUCT(O148:Q148)</f>
        <v>30</v>
      </c>
      <c r="S148" s="75" t="str">
        <f>IF(R148&gt;400,"Insustentável (risco extremo)", IF(R148&gt;200,"Significativo (risco muito alto)", IF(R148&gt;70,"Significativo (alto risco)", IF(R148&gt;21,"Significativo (risco médio)", "Insignificante"))))</f>
        <v>Significativo (risco médio)</v>
      </c>
      <c r="T148" s="67" t="s">
        <v>308</v>
      </c>
      <c r="U148" s="67" t="s">
        <v>309</v>
      </c>
      <c r="V148" s="67" t="s">
        <v>310</v>
      </c>
      <c r="W148" s="76">
        <v>10</v>
      </c>
      <c r="X148" s="72">
        <v>3</v>
      </c>
      <c r="Y148" s="73">
        <v>0.5</v>
      </c>
      <c r="Z148" s="77">
        <f>PRODUCT(W148:Y148)</f>
        <v>15</v>
      </c>
      <c r="AA148" s="75" t="str">
        <f>IF(Z148&gt;400,"Insustentável (risco extremo)", IF(Z148&gt;200,"Significativo (risco muito alto)", IF(Z148&gt;70,"Significativo (alto risco)", IF(Z148&gt;21,"Significativo (risco médio)", "Insignificante"))))</f>
        <v>Insignificante</v>
      </c>
      <c r="AB148" s="67" t="s">
        <v>39</v>
      </c>
      <c r="AC148" s="59"/>
    </row>
    <row r="149" spans="1:29" s="54" customFormat="1" ht="409.6" customHeight="1" x14ac:dyDescent="1.1000000000000001">
      <c r="A149" s="53"/>
      <c r="B149" s="81" t="s">
        <v>26</v>
      </c>
      <c r="C149" s="67" t="s">
        <v>177</v>
      </c>
      <c r="D149" s="67" t="s">
        <v>28</v>
      </c>
      <c r="E149" s="67" t="s">
        <v>182</v>
      </c>
      <c r="F149" s="79" t="s">
        <v>185</v>
      </c>
      <c r="G149" s="67" t="s">
        <v>207</v>
      </c>
      <c r="H149" s="69" t="s">
        <v>37</v>
      </c>
      <c r="I149" s="69" t="s">
        <v>31</v>
      </c>
      <c r="J149" s="69" t="s">
        <v>32</v>
      </c>
      <c r="K149" s="69" t="s">
        <v>32</v>
      </c>
      <c r="L149" s="69" t="s">
        <v>33</v>
      </c>
      <c r="M149" s="69" t="s">
        <v>30</v>
      </c>
      <c r="N149" s="70" t="s">
        <v>35</v>
      </c>
      <c r="O149" s="71">
        <v>10</v>
      </c>
      <c r="P149" s="72">
        <v>7</v>
      </c>
      <c r="Q149" s="73">
        <v>6</v>
      </c>
      <c r="R149" s="74">
        <f>PRODUCT(O149:Q149)</f>
        <v>420</v>
      </c>
      <c r="S149" s="75" t="str">
        <f>IF(R149&gt;400,"Insustentável (risco extremo)", IF(R149&gt;200,"Significativo (risco muito alto)", IF(R149&gt;70,"Significativo (alto risco)", IF(R149&gt;21,"Significativo (risco médio)", "Insignificante"))))</f>
        <v>Insustentável (risco extremo)</v>
      </c>
      <c r="T149" s="67" t="s">
        <v>323</v>
      </c>
      <c r="U149" s="67" t="s">
        <v>324</v>
      </c>
      <c r="V149" s="67" t="s">
        <v>325</v>
      </c>
      <c r="W149" s="76">
        <v>10</v>
      </c>
      <c r="X149" s="72">
        <v>3</v>
      </c>
      <c r="Y149" s="73">
        <v>1</v>
      </c>
      <c r="Z149" s="77">
        <f>PRODUCT(W149:Y149)</f>
        <v>30</v>
      </c>
      <c r="AA149" s="75" t="str">
        <f>IF(Z149&gt;400,"Insustentável (risco extremo)", IF(Z149&gt;200,"Significativo (risco muito alto)", IF(Z149&gt;70,"Significativo (alto risco)", IF(Z149&gt;21,"Significativo (risco médio)", "Insignificante"))))</f>
        <v>Significativo (risco médio)</v>
      </c>
      <c r="AB149" s="67" t="s">
        <v>39</v>
      </c>
      <c r="AC149" s="59"/>
    </row>
    <row r="150" spans="1:29" s="54" customFormat="1" ht="382.5" x14ac:dyDescent="1.1000000000000001">
      <c r="A150" s="53">
        <v>208</v>
      </c>
      <c r="B150" s="78" t="s">
        <v>26</v>
      </c>
      <c r="C150" s="67" t="s">
        <v>177</v>
      </c>
      <c r="D150" s="67" t="s">
        <v>28</v>
      </c>
      <c r="E150" s="67" t="s">
        <v>182</v>
      </c>
      <c r="F150" s="79" t="s">
        <v>49</v>
      </c>
      <c r="G150" s="67" t="s">
        <v>200</v>
      </c>
      <c r="H150" s="69" t="s">
        <v>37</v>
      </c>
      <c r="I150" s="69" t="s">
        <v>31</v>
      </c>
      <c r="J150" s="69" t="s">
        <v>32</v>
      </c>
      <c r="K150" s="69" t="s">
        <v>32</v>
      </c>
      <c r="L150" s="69" t="s">
        <v>33</v>
      </c>
      <c r="M150" s="69" t="s">
        <v>30</v>
      </c>
      <c r="N150" s="70" t="s">
        <v>35</v>
      </c>
      <c r="O150" s="71">
        <v>10</v>
      </c>
      <c r="P150" s="72">
        <v>7</v>
      </c>
      <c r="Q150" s="73">
        <v>1</v>
      </c>
      <c r="R150" s="74">
        <f>PRODUCT(O150:Q150)</f>
        <v>70</v>
      </c>
      <c r="S150" s="75" t="str">
        <f>IF(R150&gt;400,"Insustentável (risco extremo)", IF(R150&gt;200,"Significativo (risco muito alto)", IF(R150&gt;70,"Significativo (alto risco)", IF(R150&gt;21,"Significativo (risco médio)", "Insignificante"))))</f>
        <v>Significativo (risco médio)</v>
      </c>
      <c r="T150" s="67" t="s">
        <v>280</v>
      </c>
      <c r="U150" s="67" t="s">
        <v>281</v>
      </c>
      <c r="V150" s="67" t="s">
        <v>282</v>
      </c>
      <c r="W150" s="76">
        <v>10</v>
      </c>
      <c r="X150" s="72">
        <v>3</v>
      </c>
      <c r="Y150" s="73">
        <v>1</v>
      </c>
      <c r="Z150" s="77">
        <f>PRODUCT(W150:Y150)</f>
        <v>30</v>
      </c>
      <c r="AA150" s="75" t="str">
        <f>IF(Z150&gt;400,"Insustentável (risco extremo)", IF(Z150&gt;200,"Significativo (risco muito alto)", IF(Z150&gt;70,"Significativo (alto risco)", IF(Z150&gt;21,"Significativo (risco médio)", "Insignificante"))))</f>
        <v>Significativo (risco médio)</v>
      </c>
      <c r="AB150" s="67" t="s">
        <v>39</v>
      </c>
      <c r="AC150" s="59"/>
    </row>
    <row r="151" spans="1:29" s="54" customFormat="1" ht="382.5" x14ac:dyDescent="1.1000000000000001">
      <c r="A151" s="53">
        <v>209</v>
      </c>
      <c r="B151" s="81" t="s">
        <v>26</v>
      </c>
      <c r="C151" s="67" t="s">
        <v>177</v>
      </c>
      <c r="D151" s="67" t="s">
        <v>28</v>
      </c>
      <c r="E151" s="67" t="s">
        <v>186</v>
      </c>
      <c r="F151" s="79" t="s">
        <v>49</v>
      </c>
      <c r="G151" s="67" t="s">
        <v>200</v>
      </c>
      <c r="H151" s="69" t="s">
        <v>37</v>
      </c>
      <c r="I151" s="69" t="s">
        <v>31</v>
      </c>
      <c r="J151" s="69" t="s">
        <v>32</v>
      </c>
      <c r="K151" s="69" t="s">
        <v>32</v>
      </c>
      <c r="L151" s="69" t="s">
        <v>33</v>
      </c>
      <c r="M151" s="69" t="s">
        <v>34</v>
      </c>
      <c r="N151" s="70" t="s">
        <v>43</v>
      </c>
      <c r="O151" s="71">
        <v>10</v>
      </c>
      <c r="P151" s="72">
        <v>7</v>
      </c>
      <c r="Q151" s="73">
        <v>1</v>
      </c>
      <c r="R151" s="74">
        <f>PRODUCT(O151:Q151)</f>
        <v>70</v>
      </c>
      <c r="S151" s="75" t="str">
        <f>IF(R151&gt;400,"Insustentável (risco extremo)", IF(R151&gt;200,"Significativo (risco muito alto)", IF(R151&gt;70,"Significativo (alto risco)", IF(R151&gt;21,"Significativo (risco médio)", "Insignificante"))))</f>
        <v>Significativo (risco médio)</v>
      </c>
      <c r="T151" s="67" t="s">
        <v>280</v>
      </c>
      <c r="U151" s="80" t="s">
        <v>281</v>
      </c>
      <c r="V151" s="67" t="s">
        <v>282</v>
      </c>
      <c r="W151" s="76">
        <v>10</v>
      </c>
      <c r="X151" s="72">
        <v>3</v>
      </c>
      <c r="Y151" s="73">
        <v>1</v>
      </c>
      <c r="Z151" s="77">
        <f>PRODUCT(W151:Y151)</f>
        <v>30</v>
      </c>
      <c r="AA151" s="75" t="str">
        <f>IF(Z151&gt;400,"Insustentável (risco extremo)", IF(Z151&gt;200,"Significativo (risco muito alto)", IF(Z151&gt;70,"Significativo (alto risco)", IF(Z151&gt;21,"Significativo (risco médio)", "Insignificante"))))</f>
        <v>Significativo (risco médio)</v>
      </c>
      <c r="AB151" s="67" t="s">
        <v>39</v>
      </c>
      <c r="AC151" s="59"/>
    </row>
    <row r="152" spans="1:29" s="54" customFormat="1" ht="409.5" x14ac:dyDescent="1.1000000000000001">
      <c r="A152" s="53">
        <v>210</v>
      </c>
      <c r="B152" s="81" t="s">
        <v>26</v>
      </c>
      <c r="C152" s="67" t="s">
        <v>177</v>
      </c>
      <c r="D152" s="67" t="s">
        <v>28</v>
      </c>
      <c r="E152" s="67" t="s">
        <v>188</v>
      </c>
      <c r="F152" s="79" t="s">
        <v>29</v>
      </c>
      <c r="G152" s="67" t="s">
        <v>206</v>
      </c>
      <c r="H152" s="69" t="s">
        <v>30</v>
      </c>
      <c r="I152" s="69" t="s">
        <v>31</v>
      </c>
      <c r="J152" s="69" t="s">
        <v>32</v>
      </c>
      <c r="K152" s="69" t="s">
        <v>32</v>
      </c>
      <c r="L152" s="69" t="s">
        <v>33</v>
      </c>
      <c r="M152" s="69" t="s">
        <v>34</v>
      </c>
      <c r="N152" s="70" t="s">
        <v>35</v>
      </c>
      <c r="O152" s="71">
        <v>10</v>
      </c>
      <c r="P152" s="72">
        <v>40</v>
      </c>
      <c r="Q152" s="73">
        <v>1</v>
      </c>
      <c r="R152" s="74">
        <f>PRODUCT(O152:Q152)</f>
        <v>400</v>
      </c>
      <c r="S152" s="75" t="str">
        <f>IF(R152&gt;400,"Insustentável (risco extremo)", IF(R152&gt;200,"Significativo (risco muito alto)", IF(R152&gt;70,"Significativo (alto risco)", IF(R152&gt;21,"Significativo (risco médio)", "Insignificante"))))</f>
        <v>Significativo (risco muito alto)</v>
      </c>
      <c r="T152" s="67" t="s">
        <v>265</v>
      </c>
      <c r="U152" s="67" t="s">
        <v>266</v>
      </c>
      <c r="V152" s="67" t="s">
        <v>267</v>
      </c>
      <c r="W152" s="76">
        <v>10</v>
      </c>
      <c r="X152" s="72">
        <v>3</v>
      </c>
      <c r="Y152" s="72">
        <v>1</v>
      </c>
      <c r="Z152" s="77">
        <f>PRODUCT(W152:Y152)</f>
        <v>30</v>
      </c>
      <c r="AA152" s="75" t="str">
        <f>IF(Z152&gt;400,"Insustentável (risco extremo)", IF(Z152&gt;200,"Significativo (risco muito alto)", IF(Z152&gt;70,"Significativo (alto risco)", IF(Z152&gt;21,"Significativo (risco médio)", "Insignificante"))))</f>
        <v>Significativo (risco médio)</v>
      </c>
      <c r="AB152" s="67" t="s">
        <v>62</v>
      </c>
      <c r="AC152" s="56"/>
    </row>
    <row r="153" spans="1:29" s="54" customFormat="1" ht="382.5" x14ac:dyDescent="1.1000000000000001">
      <c r="A153" s="53">
        <v>211</v>
      </c>
      <c r="B153" s="69" t="s">
        <v>26</v>
      </c>
      <c r="C153" s="67" t="s">
        <v>177</v>
      </c>
      <c r="D153" s="67" t="s">
        <v>28</v>
      </c>
      <c r="E153" s="67" t="s">
        <v>189</v>
      </c>
      <c r="F153" s="79" t="s">
        <v>190</v>
      </c>
      <c r="G153" s="67" t="s">
        <v>90</v>
      </c>
      <c r="H153" s="69" t="s">
        <v>37</v>
      </c>
      <c r="I153" s="69" t="s">
        <v>31</v>
      </c>
      <c r="J153" s="69" t="s">
        <v>32</v>
      </c>
      <c r="K153" s="69" t="s">
        <v>32</v>
      </c>
      <c r="L153" s="69" t="s">
        <v>33</v>
      </c>
      <c r="M153" s="69" t="s">
        <v>34</v>
      </c>
      <c r="N153" s="70" t="s">
        <v>35</v>
      </c>
      <c r="O153" s="71">
        <v>10</v>
      </c>
      <c r="P153" s="72">
        <v>1</v>
      </c>
      <c r="Q153" s="73">
        <v>0.5</v>
      </c>
      <c r="R153" s="74">
        <f>PRODUCT(O153:Q153)</f>
        <v>5</v>
      </c>
      <c r="S153" s="75" t="str">
        <f>IF(R153&gt;400,"Insustentável (risco extremo)", IF(R153&gt;200,"Significativo (risco muito alto)", IF(R153&gt;70,"Significativo (alto risco)", IF(R153&gt;21,"Significativo (risco médio)", "Insignificante"))))</f>
        <v>Insignificante</v>
      </c>
      <c r="T153" s="67" t="s">
        <v>326</v>
      </c>
      <c r="U153" s="67" t="s">
        <v>327</v>
      </c>
      <c r="V153" s="67" t="s">
        <v>316</v>
      </c>
      <c r="W153" s="76">
        <v>10</v>
      </c>
      <c r="X153" s="72">
        <v>1</v>
      </c>
      <c r="Y153" s="72">
        <v>0.2</v>
      </c>
      <c r="Z153" s="77">
        <f>PRODUCT(W153:Y153)</f>
        <v>2</v>
      </c>
      <c r="AA153" s="75" t="str">
        <f>IF(Z153&gt;400,"Insustentável (risco extremo)", IF(Z153&gt;200,"Significativo (risco muito alto)", IF(Z153&gt;70,"Significativo (alto risco)", IF(Z153&gt;21,"Significativo (risco médio)", "Insignificante"))))</f>
        <v>Insignificante</v>
      </c>
      <c r="AB153" s="80" t="s">
        <v>334</v>
      </c>
      <c r="AC153" s="56"/>
    </row>
    <row r="154" spans="1:29" s="54" customFormat="1" ht="409.5" x14ac:dyDescent="1.1000000000000001">
      <c r="A154" s="53">
        <v>213</v>
      </c>
      <c r="B154" s="69" t="s">
        <v>26</v>
      </c>
      <c r="C154" s="67" t="s">
        <v>177</v>
      </c>
      <c r="D154" s="67" t="s">
        <v>28</v>
      </c>
      <c r="E154" s="67" t="s">
        <v>191</v>
      </c>
      <c r="F154" s="79" t="s">
        <v>29</v>
      </c>
      <c r="G154" s="67" t="s">
        <v>206</v>
      </c>
      <c r="H154" s="69" t="s">
        <v>30</v>
      </c>
      <c r="I154" s="69" t="s">
        <v>31</v>
      </c>
      <c r="J154" s="69" t="s">
        <v>32</v>
      </c>
      <c r="K154" s="69" t="s">
        <v>32</v>
      </c>
      <c r="L154" s="69" t="s">
        <v>33</v>
      </c>
      <c r="M154" s="69" t="s">
        <v>34</v>
      </c>
      <c r="N154" s="70" t="s">
        <v>35</v>
      </c>
      <c r="O154" s="71">
        <v>3</v>
      </c>
      <c r="P154" s="72">
        <v>40</v>
      </c>
      <c r="Q154" s="73">
        <v>10</v>
      </c>
      <c r="R154" s="74">
        <f>PRODUCT(O154:Q154)</f>
        <v>1200</v>
      </c>
      <c r="S154" s="75" t="str">
        <f>IF(R154&gt;400,"Insustentável (risco extremo)", IF(R154&gt;200,"Significativo (risco muito alto)", IF(R154&gt;70,"Significativo (alto risco)", IF(R154&gt;21,"Significativo (risco médio)", "Insignificante"))))</f>
        <v>Insustentável (risco extremo)</v>
      </c>
      <c r="T154" s="67" t="s">
        <v>265</v>
      </c>
      <c r="U154" s="67" t="s">
        <v>266</v>
      </c>
      <c r="V154" s="67" t="s">
        <v>267</v>
      </c>
      <c r="W154" s="76">
        <v>3</v>
      </c>
      <c r="X154" s="72">
        <v>3</v>
      </c>
      <c r="Y154" s="72">
        <v>1</v>
      </c>
      <c r="Z154" s="77">
        <f>PRODUCT(W154:Y154)</f>
        <v>9</v>
      </c>
      <c r="AA154" s="75" t="str">
        <f>IF(Z154&gt;400,"Insustentável (risco extremo)", IF(Z154&gt;200,"Significativo (risco muito alto)", IF(Z154&gt;70,"Significativo (alto risco)", IF(Z154&gt;21,"Significativo (risco médio)", "Insignificante"))))</f>
        <v>Insignificante</v>
      </c>
      <c r="AB154" s="67" t="s">
        <v>62</v>
      </c>
      <c r="AC154" s="56"/>
    </row>
    <row r="155" spans="1:29" s="54" customFormat="1" ht="306" x14ac:dyDescent="1.1000000000000001">
      <c r="B155" s="69" t="s">
        <v>26</v>
      </c>
      <c r="C155" s="67" t="s">
        <v>177</v>
      </c>
      <c r="D155" s="67" t="s">
        <v>28</v>
      </c>
      <c r="E155" s="67" t="s">
        <v>191</v>
      </c>
      <c r="F155" s="79" t="s">
        <v>192</v>
      </c>
      <c r="G155" s="67" t="s">
        <v>200</v>
      </c>
      <c r="H155" s="69" t="s">
        <v>37</v>
      </c>
      <c r="I155" s="69" t="s">
        <v>31</v>
      </c>
      <c r="J155" s="69" t="s">
        <v>32</v>
      </c>
      <c r="K155" s="69" t="s">
        <v>32</v>
      </c>
      <c r="L155" s="69" t="s">
        <v>33</v>
      </c>
      <c r="M155" s="69" t="s">
        <v>394</v>
      </c>
      <c r="N155" s="70" t="s">
        <v>43</v>
      </c>
      <c r="O155" s="71">
        <v>3</v>
      </c>
      <c r="P155" s="72">
        <v>3</v>
      </c>
      <c r="Q155" s="73">
        <v>1</v>
      </c>
      <c r="R155" s="82">
        <f>PRODUCT(O155:Q155)</f>
        <v>9</v>
      </c>
      <c r="S155" s="75" t="str">
        <f>IF(R155&gt;400,"Insustentável (risco extremo)", IF(R155&gt;200,"Significativo (risco muito alto)", IF(R155&gt;70,"Significativo (alto risco)", IF(R155&gt;21,"Significativo (risco médio)", "Insignificante"))))</f>
        <v>Insignificante</v>
      </c>
      <c r="T155" s="67" t="s">
        <v>328</v>
      </c>
      <c r="U155" s="80" t="s">
        <v>329</v>
      </c>
      <c r="V155" s="80" t="s">
        <v>316</v>
      </c>
      <c r="W155" s="76">
        <v>3</v>
      </c>
      <c r="X155" s="72">
        <v>3</v>
      </c>
      <c r="Y155" s="72">
        <v>0.5</v>
      </c>
      <c r="Z155" s="77">
        <f>PRODUCT(W155:Y155)</f>
        <v>4.5</v>
      </c>
      <c r="AA155" s="75" t="str">
        <f>IF(Z155&gt;400,"Insustentável (risco extremo)", IF(Z155&gt;200,"Significativo (risco muito alto)", IF(Z155&gt;70,"Significativo (alto risco)", IF(Z155&gt;21,"Significativo (risco médio)", "Insignificante"))))</f>
        <v>Insignificante</v>
      </c>
      <c r="AB155" s="80" t="s">
        <v>333</v>
      </c>
    </row>
    <row r="156" spans="1:29" s="54" customFormat="1" ht="382.5" x14ac:dyDescent="1.1000000000000001">
      <c r="B156" s="81" t="s">
        <v>26</v>
      </c>
      <c r="C156" s="67" t="s">
        <v>184</v>
      </c>
      <c r="D156" s="67" t="s">
        <v>28</v>
      </c>
      <c r="E156" s="67" t="s">
        <v>392</v>
      </c>
      <c r="F156" s="67" t="s">
        <v>36</v>
      </c>
      <c r="G156" s="67" t="s">
        <v>198</v>
      </c>
      <c r="H156" s="69" t="s">
        <v>37</v>
      </c>
      <c r="I156" s="69" t="s">
        <v>31</v>
      </c>
      <c r="J156" s="69" t="s">
        <v>32</v>
      </c>
      <c r="K156" s="69" t="s">
        <v>32</v>
      </c>
      <c r="L156" s="69" t="s">
        <v>33</v>
      </c>
      <c r="M156" s="69" t="s">
        <v>30</v>
      </c>
      <c r="N156" s="70" t="s">
        <v>35</v>
      </c>
      <c r="O156" s="71">
        <v>10</v>
      </c>
      <c r="P156" s="72">
        <v>7</v>
      </c>
      <c r="Q156" s="73">
        <v>3</v>
      </c>
      <c r="R156" s="74">
        <f>PRODUCT(O156:Q156)</f>
        <v>210</v>
      </c>
      <c r="S156" s="75" t="str">
        <f>IF(R156&gt;400,"Insustentável (risco extremo)", IF(R156&gt;200,"Significativo (risco muito alto)", IF(R156&gt;70,"Significativo (alto risco)", IF(R156&gt;21,"Significativo (risco médio)", "Insignificante"))))</f>
        <v>Significativo (risco muito alto)</v>
      </c>
      <c r="T156" s="67" t="s">
        <v>268</v>
      </c>
      <c r="U156" s="67" t="s">
        <v>269</v>
      </c>
      <c r="V156" s="67" t="s">
        <v>270</v>
      </c>
      <c r="W156" s="76">
        <v>10</v>
      </c>
      <c r="X156" s="72">
        <v>3</v>
      </c>
      <c r="Y156" s="72">
        <v>1</v>
      </c>
      <c r="Z156" s="77">
        <f>PRODUCT(W156:Y156)</f>
        <v>30</v>
      </c>
      <c r="AA156" s="75" t="str">
        <f>IF(Z156&gt;400,"Insustentável (risco extremo)", IF(Z156&gt;200,"Significativo (risco muito alto)", IF(Z156&gt;70,"Significativo (alto risco)", IF(Z156&gt;21,"Significativo (risco médio)", "Insignificante"))))</f>
        <v>Significativo (risco médio)</v>
      </c>
      <c r="AB156" s="67" t="s">
        <v>39</v>
      </c>
    </row>
    <row r="157" spans="1:29" x14ac:dyDescent="0.65">
      <c r="B157" s="41"/>
      <c r="G157" s="41"/>
    </row>
  </sheetData>
  <autoFilter ref="B3:AB156" xr:uid="{F9A4741E-2134-4562-B632-CA537B03EF9D}">
    <sortState xmlns:xlrd2="http://schemas.microsoft.com/office/spreadsheetml/2017/richdata2" ref="B4:AB156">
      <sortCondition ref="C3:C156"/>
    </sortState>
  </autoFilter>
  <mergeCells count="5">
    <mergeCell ref="C1:G1"/>
    <mergeCell ref="B2:Q2"/>
    <mergeCell ref="R2:S2"/>
    <mergeCell ref="Z2:AA2"/>
    <mergeCell ref="T2:V2"/>
  </mergeCells>
  <conditionalFormatting sqref="R4:R156">
    <cfRule type="cellIs" dxfId="19" priority="12" operator="greaterThan">
      <formula>400</formula>
    </cfRule>
    <cfRule type="cellIs" dxfId="18" priority="18" operator="between">
      <formula>200</formula>
      <formula>400</formula>
    </cfRule>
    <cfRule type="cellIs" dxfId="17" priority="19" operator="between">
      <formula>71</formula>
      <formula>200</formula>
    </cfRule>
    <cfRule type="cellIs" dxfId="16" priority="20" operator="between">
      <formula>22</formula>
      <formula>70</formula>
    </cfRule>
    <cfRule type="cellIs" dxfId="15" priority="21" operator="between">
      <formula>0</formula>
      <formula>21</formula>
    </cfRule>
  </conditionalFormatting>
  <conditionalFormatting sqref="S4:S156">
    <cfRule type="cellIs" dxfId="14" priority="11" operator="equal">
      <formula>"Insustentável (risco extremo)"</formula>
    </cfRule>
    <cfRule type="cellIs" dxfId="13" priority="13" operator="equal">
      <formula>"Significativo (risco médio)"</formula>
    </cfRule>
    <cfRule type="cellIs" dxfId="12" priority="15" operator="equal">
      <formula>"Insignificante"</formula>
    </cfRule>
    <cfRule type="cellIs" dxfId="11" priority="16" operator="equal">
      <formula>"Significativo (risco muito alto)"</formula>
    </cfRule>
    <cfRule type="cellIs" dxfId="10" priority="17" operator="equal">
      <formula>"Significativo (alto risco)"</formula>
    </cfRule>
  </conditionalFormatting>
  <conditionalFormatting sqref="Z4:Z156">
    <cfRule type="cellIs" dxfId="9" priority="1" operator="between">
      <formula>0</formula>
      <formula>21</formula>
    </cfRule>
    <cfRule type="cellIs" dxfId="8" priority="2" operator="between">
      <formula>21</formula>
      <formula>70</formula>
    </cfRule>
    <cfRule type="cellIs" dxfId="7" priority="3" operator="between">
      <formula>70</formula>
      <formula>200</formula>
    </cfRule>
    <cfRule type="cellIs" dxfId="6" priority="4" operator="between">
      <formula>200</formula>
      <formula>400</formula>
    </cfRule>
    <cfRule type="cellIs" dxfId="5" priority="9" operator="greaterThan">
      <formula>400</formula>
    </cfRule>
  </conditionalFormatting>
  <conditionalFormatting sqref="AA4:AA156">
    <cfRule type="cellIs" dxfId="4" priority="5" operator="equal">
      <formula>"Significativo (alto risco)"</formula>
    </cfRule>
    <cfRule type="cellIs" dxfId="3" priority="6" operator="equal">
      <formula>"Significativo (risco muito alto)"</formula>
    </cfRule>
    <cfRule type="cellIs" dxfId="2" priority="7" operator="equal">
      <formula>"Insignificante"</formula>
    </cfRule>
    <cfRule type="cellIs" dxfId="1" priority="8" operator="equal">
      <formula>"Significativo (risco médio)"</formula>
    </cfRule>
    <cfRule type="cellIs" dxfId="0" priority="10" operator="equal">
      <formula>"Insustentável (risco extremo)"</formula>
    </cfRule>
  </conditionalFormatting>
  <dataValidations xWindow="895" yWindow="859" count="11">
    <dataValidation type="list" allowBlank="1" showInputMessage="1" showErrorMessage="1" sqref="H22:H28 H4:H20 H30:H31 H33:H142" xr:uid="{925877A0-EEB0-481A-AF6E-C3F2A4076C16}">
      <formula1>"N,A,E"</formula1>
    </dataValidation>
    <dataValidation type="list" allowBlank="1" showInputMessage="1" showErrorMessage="1" sqref="M22:M28 M4:M20 M30:M142" xr:uid="{9DF82555-0F37-4795-9004-AE797B1BDDBF}">
      <formula1>"E,I,N/A"</formula1>
    </dataValidation>
    <dataValidation type="list" allowBlank="1" showInputMessage="1" showErrorMessage="1" sqref="L22:L28 L4:L20 L30:L31 L33:L142" xr:uid="{484C03AF-2CF3-444B-9739-672B7F34F9FC}">
      <formula1>"R,O, R/O"</formula1>
    </dataValidation>
    <dataValidation type="list" allowBlank="1" showInputMessage="1" showErrorMessage="1" sqref="K22:K28 K4:K20 K30:K31 K33:K142" xr:uid="{EEA9D890-1639-47AC-A5EF-6EC5A1A2A499}">
      <formula1>"A,B"</formula1>
    </dataValidation>
    <dataValidation type="list" allowBlank="1" showInputMessage="1" showErrorMessage="1" sqref="J22:J28 J4:J20 J30:J31 J33:J142" xr:uid="{BD106876-CFE2-4B94-9435-12DAA5E5279E}">
      <formula1>"A,P,F"</formula1>
    </dataValidation>
    <dataValidation type="list" allowBlank="1" showInputMessage="1" showErrorMessage="1" sqref="I22:I28 I4:I20 I30:I31 I33:I142" xr:uid="{2ED66B1E-9913-49CC-9447-331FE5611DA9}">
      <formula1>"D,I,D/I"</formula1>
    </dataValidation>
    <dataValidation type="list" allowBlank="1" showInputMessage="1" showErrorMessage="1" promptTitle="Probability of loss is" prompt="10: Expected._x000a_6: Possible_x000a_3: Unusual (but possible)._x000a_1: Unlikely, but possible in the long term_x000a_0,5:Highly unlikely_x000a_0,2:Almost unimaginable._x000a_0,1:Unthinkable" sqref="Y1:Y1048576 Q1:Q1048576" xr:uid="{C0FC8957-79F8-42AA-98EE-2A908AC8D80E}">
      <mc:AlternateContent xmlns:x12ac="http://schemas.microsoft.com/office/spreadsheetml/2011/1/ac" xmlns:mc="http://schemas.openxmlformats.org/markup-compatibility/2006">
        <mc:Choice Requires="x12ac">
          <x12ac:list>"0,1","0,2","0,5",1,3,6,10</x12ac:list>
        </mc:Choice>
        <mc:Fallback>
          <formula1>"0,1,0,2,0,5,1,3,6,10"</formula1>
        </mc:Fallback>
      </mc:AlternateContent>
    </dataValidation>
    <dataValidation type="list" allowBlank="1" showInputMessage="1" showErrorMessage="1" promptTitle="Estimated harm to human/environm" prompt="40:Possible production stop.Fine._x000a_15:Fines or punishment for responsible persons._x000a_7:Requires the creation of act.plan to prevent/minimize it._x000a_3:Can be prevented immediately._x000a_1:No damage, slight affect" sqref="P1:P1048576 X1:X1048576" xr:uid="{547EB23A-46B5-40DF-A4F2-13A5972E173C}">
      <formula1>"1,3,7,15,40"</formula1>
    </dataValidation>
    <dataValidation type="list" allowBlank="1" showInputMessage="1" showErrorMessage="1" promptTitle="Repetition of exposure to danger" prompt="10: Almost constantly._x000a_6: Often.Once a day or several times._x000a_3: Sometimes.Once a week or several times._x000a_2:Not often.Once a month or several times._x000a_1:Rare.Several a year times._x000a_0,5:Very rare.Once a year or less." sqref="W1:W1048576 O1:O1048576" xr:uid="{55E1FED5-97D8-4395-9A6D-08ADCE971A9E}">
      <formula1>"0,5,1,2,3,6,10"</formula1>
    </dataValidation>
    <dataValidation type="list" allowBlank="1" showInputMessage="1" showErrorMessage="1" sqref="D4:D156" xr:uid="{95AFB5CA-CA45-479E-BA5A-F0268D6C4BFE}">
      <formula1>"TODAS, JUNDIAÍ, PIUMHI, SALVADOR"</formula1>
    </dataValidation>
    <dataValidation type="list" allowBlank="1" showInputMessage="1" showErrorMessage="1" sqref="N4:N156" xr:uid="{AEC47107-5D03-4DB0-A1AB-A0D417CE3D34}">
      <formula1>"L,P,R"</formula1>
    </dataValidation>
  </dataValidations>
  <pageMargins left="0.51181102362204722" right="0.51181102362204722" top="1.8897637795275593" bottom="0.9055118110236221" header="0.31496062992125984" footer="0.31496062992125984"/>
  <pageSetup paperSize="9" scale="10" fitToHeight="0" orientation="landscape" r:id="rId1"/>
  <colBreaks count="1" manualBreakCount="1">
    <brk id="28" max="32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6EFB-E0B9-431C-8E58-4DE7B0B89B71}">
  <sheetPr>
    <pageSetUpPr fitToPage="1"/>
  </sheetPr>
  <dimension ref="A1:WWC53"/>
  <sheetViews>
    <sheetView view="pageBreakPreview" topLeftCell="A2" zoomScale="90" zoomScaleNormal="90" zoomScaleSheetLayoutView="90" workbookViewId="0">
      <selection activeCell="B26" sqref="B26:D26"/>
    </sheetView>
  </sheetViews>
  <sheetFormatPr defaultColWidth="0" defaultRowHeight="12.65" customHeight="1" zeroHeight="1" x14ac:dyDescent="0.25"/>
  <cols>
    <col min="1" max="1" width="1.08984375" style="1" customWidth="1"/>
    <col min="2" max="2" width="10.6328125" style="2" customWidth="1"/>
    <col min="3" max="3" width="1.6328125" style="2" customWidth="1"/>
    <col min="4" max="4" width="30.6328125" style="2" customWidth="1"/>
    <col min="5" max="5" width="1.90625" style="2" customWidth="1"/>
    <col min="6" max="6" width="8" style="2" hidden="1" customWidth="1"/>
    <col min="7" max="7" width="1.6328125" style="2" customWidth="1"/>
    <col min="8" max="8" width="11" style="2" customWidth="1"/>
    <col min="9" max="9" width="1.6328125" style="2" customWidth="1"/>
    <col min="10" max="11" width="23.54296875" style="2" customWidth="1"/>
    <col min="12" max="12" width="1.6328125" style="2" customWidth="1"/>
    <col min="13" max="13" width="4.54296875" style="2" hidden="1" customWidth="1"/>
    <col min="14" max="14" width="1.6328125" style="2" hidden="1" customWidth="1"/>
    <col min="15" max="15" width="10.6328125" style="2" customWidth="1"/>
    <col min="16" max="16" width="1.6328125" style="2" customWidth="1"/>
    <col min="17" max="17" width="60.90625" style="2" customWidth="1"/>
    <col min="18" max="18" width="1.6328125" style="2" customWidth="1"/>
    <col min="19" max="19" width="4.54296875" style="2" hidden="1" customWidth="1"/>
    <col min="20" max="20" width="1.6328125" style="2" hidden="1" customWidth="1"/>
    <col min="21" max="21" width="0.90625" style="1" customWidth="1"/>
    <col min="22" max="256" width="9.08984375" style="1" hidden="1"/>
    <col min="257" max="257" width="1.08984375" style="1" customWidth="1"/>
    <col min="258" max="258" width="10.6328125" style="1" customWidth="1"/>
    <col min="259" max="259" width="1.6328125" style="1" customWidth="1"/>
    <col min="260" max="260" width="30.6328125" style="1" customWidth="1"/>
    <col min="261" max="261" width="1.90625" style="1" customWidth="1"/>
    <col min="262" max="262" width="8" style="1" customWidth="1"/>
    <col min="263" max="263" width="1.6328125" style="1" customWidth="1"/>
    <col min="264" max="264" width="11" style="1" customWidth="1"/>
    <col min="265" max="265" width="1.6328125" style="1" customWidth="1"/>
    <col min="266" max="267" width="23.54296875" style="1" customWidth="1"/>
    <col min="268" max="268" width="1.6328125" style="1" customWidth="1"/>
    <col min="269" max="269" width="4.54296875" style="1" customWidth="1"/>
    <col min="270" max="270" width="1.6328125" style="1" customWidth="1"/>
    <col min="271" max="271" width="10.6328125" style="1" customWidth="1"/>
    <col min="272" max="272" width="1.6328125" style="1" customWidth="1"/>
    <col min="273" max="273" width="60.90625" style="1" customWidth="1"/>
    <col min="274" max="274" width="1.6328125" style="1" customWidth="1"/>
    <col min="275" max="275" width="4.54296875" style="1" customWidth="1"/>
    <col min="276" max="276" width="1.6328125" style="1" customWidth="1"/>
    <col min="277" max="277" width="0.90625" style="1" customWidth="1"/>
    <col min="278" max="512" width="9.08984375" style="1" hidden="1"/>
    <col min="513" max="513" width="1.08984375" style="1" customWidth="1"/>
    <col min="514" max="514" width="10.6328125" style="1" customWidth="1"/>
    <col min="515" max="515" width="1.6328125" style="1" customWidth="1"/>
    <col min="516" max="516" width="30.6328125" style="1" customWidth="1"/>
    <col min="517" max="517" width="1.90625" style="1" customWidth="1"/>
    <col min="518" max="518" width="8" style="1" customWidth="1"/>
    <col min="519" max="519" width="1.6328125" style="1" customWidth="1"/>
    <col min="520" max="520" width="11" style="1" customWidth="1"/>
    <col min="521" max="521" width="1.6328125" style="1" customWidth="1"/>
    <col min="522" max="523" width="23.54296875" style="1" customWidth="1"/>
    <col min="524" max="524" width="1.6328125" style="1" customWidth="1"/>
    <col min="525" max="525" width="4.54296875" style="1" customWidth="1"/>
    <col min="526" max="526" width="1.6328125" style="1" customWidth="1"/>
    <col min="527" max="527" width="10.6328125" style="1" customWidth="1"/>
    <col min="528" max="528" width="1.6328125" style="1" customWidth="1"/>
    <col min="529" max="529" width="60.90625" style="1" customWidth="1"/>
    <col min="530" max="530" width="1.6328125" style="1" customWidth="1"/>
    <col min="531" max="531" width="4.54296875" style="1" customWidth="1"/>
    <col min="532" max="532" width="1.6328125" style="1" customWidth="1"/>
    <col min="533" max="533" width="0.90625" style="1" customWidth="1"/>
    <col min="534" max="768" width="9.08984375" style="1" hidden="1"/>
    <col min="769" max="769" width="1.08984375" style="1" customWidth="1"/>
    <col min="770" max="770" width="10.6328125" style="1" customWidth="1"/>
    <col min="771" max="771" width="1.6328125" style="1" customWidth="1"/>
    <col min="772" max="772" width="30.6328125" style="1" customWidth="1"/>
    <col min="773" max="773" width="1.90625" style="1" customWidth="1"/>
    <col min="774" max="774" width="8" style="1" customWidth="1"/>
    <col min="775" max="775" width="1.6328125" style="1" customWidth="1"/>
    <col min="776" max="776" width="11" style="1" customWidth="1"/>
    <col min="777" max="777" width="1.6328125" style="1" customWidth="1"/>
    <col min="778" max="779" width="23.54296875" style="1" customWidth="1"/>
    <col min="780" max="780" width="1.6328125" style="1" customWidth="1"/>
    <col min="781" max="781" width="4.54296875" style="1" customWidth="1"/>
    <col min="782" max="782" width="1.6328125" style="1" customWidth="1"/>
    <col min="783" max="783" width="10.6328125" style="1" customWidth="1"/>
    <col min="784" max="784" width="1.6328125" style="1" customWidth="1"/>
    <col min="785" max="785" width="60.90625" style="1" customWidth="1"/>
    <col min="786" max="786" width="1.6328125" style="1" customWidth="1"/>
    <col min="787" max="787" width="4.54296875" style="1" customWidth="1"/>
    <col min="788" max="788" width="1.6328125" style="1" customWidth="1"/>
    <col min="789" max="789" width="0.90625" style="1" customWidth="1"/>
    <col min="790" max="1024" width="9.08984375" style="1" hidden="1"/>
    <col min="1025" max="1025" width="1.08984375" style="1" customWidth="1"/>
    <col min="1026" max="1026" width="10.6328125" style="1" customWidth="1"/>
    <col min="1027" max="1027" width="1.6328125" style="1" customWidth="1"/>
    <col min="1028" max="1028" width="30.6328125" style="1" customWidth="1"/>
    <col min="1029" max="1029" width="1.90625" style="1" customWidth="1"/>
    <col min="1030" max="1030" width="8" style="1" customWidth="1"/>
    <col min="1031" max="1031" width="1.6328125" style="1" customWidth="1"/>
    <col min="1032" max="1032" width="11" style="1" customWidth="1"/>
    <col min="1033" max="1033" width="1.6328125" style="1" customWidth="1"/>
    <col min="1034" max="1035" width="23.54296875" style="1" customWidth="1"/>
    <col min="1036" max="1036" width="1.6328125" style="1" customWidth="1"/>
    <col min="1037" max="1037" width="4.54296875" style="1" customWidth="1"/>
    <col min="1038" max="1038" width="1.6328125" style="1" customWidth="1"/>
    <col min="1039" max="1039" width="10.6328125" style="1" customWidth="1"/>
    <col min="1040" max="1040" width="1.6328125" style="1" customWidth="1"/>
    <col min="1041" max="1041" width="60.90625" style="1" customWidth="1"/>
    <col min="1042" max="1042" width="1.6328125" style="1" customWidth="1"/>
    <col min="1043" max="1043" width="4.54296875" style="1" customWidth="1"/>
    <col min="1044" max="1044" width="1.6328125" style="1" customWidth="1"/>
    <col min="1045" max="1045" width="0.90625" style="1" customWidth="1"/>
    <col min="1046" max="1280" width="9.08984375" style="1" hidden="1"/>
    <col min="1281" max="1281" width="1.08984375" style="1" customWidth="1"/>
    <col min="1282" max="1282" width="10.6328125" style="1" customWidth="1"/>
    <col min="1283" max="1283" width="1.6328125" style="1" customWidth="1"/>
    <col min="1284" max="1284" width="30.6328125" style="1" customWidth="1"/>
    <col min="1285" max="1285" width="1.90625" style="1" customWidth="1"/>
    <col min="1286" max="1286" width="8" style="1" customWidth="1"/>
    <col min="1287" max="1287" width="1.6328125" style="1" customWidth="1"/>
    <col min="1288" max="1288" width="11" style="1" customWidth="1"/>
    <col min="1289" max="1289" width="1.6328125" style="1" customWidth="1"/>
    <col min="1290" max="1291" width="23.54296875" style="1" customWidth="1"/>
    <col min="1292" max="1292" width="1.6328125" style="1" customWidth="1"/>
    <col min="1293" max="1293" width="4.54296875" style="1" customWidth="1"/>
    <col min="1294" max="1294" width="1.6328125" style="1" customWidth="1"/>
    <col min="1295" max="1295" width="10.6328125" style="1" customWidth="1"/>
    <col min="1296" max="1296" width="1.6328125" style="1" customWidth="1"/>
    <col min="1297" max="1297" width="60.90625" style="1" customWidth="1"/>
    <col min="1298" max="1298" width="1.6328125" style="1" customWidth="1"/>
    <col min="1299" max="1299" width="4.54296875" style="1" customWidth="1"/>
    <col min="1300" max="1300" width="1.6328125" style="1" customWidth="1"/>
    <col min="1301" max="1301" width="0.90625" style="1" customWidth="1"/>
    <col min="1302" max="1536" width="9.08984375" style="1" hidden="1"/>
    <col min="1537" max="1537" width="1.08984375" style="1" customWidth="1"/>
    <col min="1538" max="1538" width="10.6328125" style="1" customWidth="1"/>
    <col min="1539" max="1539" width="1.6328125" style="1" customWidth="1"/>
    <col min="1540" max="1540" width="30.6328125" style="1" customWidth="1"/>
    <col min="1541" max="1541" width="1.90625" style="1" customWidth="1"/>
    <col min="1542" max="1542" width="8" style="1" customWidth="1"/>
    <col min="1543" max="1543" width="1.6328125" style="1" customWidth="1"/>
    <col min="1544" max="1544" width="11" style="1" customWidth="1"/>
    <col min="1545" max="1545" width="1.6328125" style="1" customWidth="1"/>
    <col min="1546" max="1547" width="23.54296875" style="1" customWidth="1"/>
    <col min="1548" max="1548" width="1.6328125" style="1" customWidth="1"/>
    <col min="1549" max="1549" width="4.54296875" style="1" customWidth="1"/>
    <col min="1550" max="1550" width="1.6328125" style="1" customWidth="1"/>
    <col min="1551" max="1551" width="10.6328125" style="1" customWidth="1"/>
    <col min="1552" max="1552" width="1.6328125" style="1" customWidth="1"/>
    <col min="1553" max="1553" width="60.90625" style="1" customWidth="1"/>
    <col min="1554" max="1554" width="1.6328125" style="1" customWidth="1"/>
    <col min="1555" max="1555" width="4.54296875" style="1" customWidth="1"/>
    <col min="1556" max="1556" width="1.6328125" style="1" customWidth="1"/>
    <col min="1557" max="1557" width="0.90625" style="1" customWidth="1"/>
    <col min="1558" max="1792" width="9.08984375" style="1" hidden="1"/>
    <col min="1793" max="1793" width="1.08984375" style="1" customWidth="1"/>
    <col min="1794" max="1794" width="10.6328125" style="1" customWidth="1"/>
    <col min="1795" max="1795" width="1.6328125" style="1" customWidth="1"/>
    <col min="1796" max="1796" width="30.6328125" style="1" customWidth="1"/>
    <col min="1797" max="1797" width="1.90625" style="1" customWidth="1"/>
    <col min="1798" max="1798" width="8" style="1" customWidth="1"/>
    <col min="1799" max="1799" width="1.6328125" style="1" customWidth="1"/>
    <col min="1800" max="1800" width="11" style="1" customWidth="1"/>
    <col min="1801" max="1801" width="1.6328125" style="1" customWidth="1"/>
    <col min="1802" max="1803" width="23.54296875" style="1" customWidth="1"/>
    <col min="1804" max="1804" width="1.6328125" style="1" customWidth="1"/>
    <col min="1805" max="1805" width="4.54296875" style="1" customWidth="1"/>
    <col min="1806" max="1806" width="1.6328125" style="1" customWidth="1"/>
    <col min="1807" max="1807" width="10.6328125" style="1" customWidth="1"/>
    <col min="1808" max="1808" width="1.6328125" style="1" customWidth="1"/>
    <col min="1809" max="1809" width="60.90625" style="1" customWidth="1"/>
    <col min="1810" max="1810" width="1.6328125" style="1" customWidth="1"/>
    <col min="1811" max="1811" width="4.54296875" style="1" customWidth="1"/>
    <col min="1812" max="1812" width="1.6328125" style="1" customWidth="1"/>
    <col min="1813" max="1813" width="0.90625" style="1" customWidth="1"/>
    <col min="1814" max="2048" width="9.08984375" style="1" hidden="1"/>
    <col min="2049" max="2049" width="1.08984375" style="1" customWidth="1"/>
    <col min="2050" max="2050" width="10.6328125" style="1" customWidth="1"/>
    <col min="2051" max="2051" width="1.6328125" style="1" customWidth="1"/>
    <col min="2052" max="2052" width="30.6328125" style="1" customWidth="1"/>
    <col min="2053" max="2053" width="1.90625" style="1" customWidth="1"/>
    <col min="2054" max="2054" width="8" style="1" customWidth="1"/>
    <col min="2055" max="2055" width="1.6328125" style="1" customWidth="1"/>
    <col min="2056" max="2056" width="11" style="1" customWidth="1"/>
    <col min="2057" max="2057" width="1.6328125" style="1" customWidth="1"/>
    <col min="2058" max="2059" width="23.54296875" style="1" customWidth="1"/>
    <col min="2060" max="2060" width="1.6328125" style="1" customWidth="1"/>
    <col min="2061" max="2061" width="4.54296875" style="1" customWidth="1"/>
    <col min="2062" max="2062" width="1.6328125" style="1" customWidth="1"/>
    <col min="2063" max="2063" width="10.6328125" style="1" customWidth="1"/>
    <col min="2064" max="2064" width="1.6328125" style="1" customWidth="1"/>
    <col min="2065" max="2065" width="60.90625" style="1" customWidth="1"/>
    <col min="2066" max="2066" width="1.6328125" style="1" customWidth="1"/>
    <col min="2067" max="2067" width="4.54296875" style="1" customWidth="1"/>
    <col min="2068" max="2068" width="1.6328125" style="1" customWidth="1"/>
    <col min="2069" max="2069" width="0.90625" style="1" customWidth="1"/>
    <col min="2070" max="2304" width="9.08984375" style="1" hidden="1"/>
    <col min="2305" max="2305" width="1.08984375" style="1" customWidth="1"/>
    <col min="2306" max="2306" width="10.6328125" style="1" customWidth="1"/>
    <col min="2307" max="2307" width="1.6328125" style="1" customWidth="1"/>
    <col min="2308" max="2308" width="30.6328125" style="1" customWidth="1"/>
    <col min="2309" max="2309" width="1.90625" style="1" customWidth="1"/>
    <col min="2310" max="2310" width="8" style="1" customWidth="1"/>
    <col min="2311" max="2311" width="1.6328125" style="1" customWidth="1"/>
    <col min="2312" max="2312" width="11" style="1" customWidth="1"/>
    <col min="2313" max="2313" width="1.6328125" style="1" customWidth="1"/>
    <col min="2314" max="2315" width="23.54296875" style="1" customWidth="1"/>
    <col min="2316" max="2316" width="1.6328125" style="1" customWidth="1"/>
    <col min="2317" max="2317" width="4.54296875" style="1" customWidth="1"/>
    <col min="2318" max="2318" width="1.6328125" style="1" customWidth="1"/>
    <col min="2319" max="2319" width="10.6328125" style="1" customWidth="1"/>
    <col min="2320" max="2320" width="1.6328125" style="1" customWidth="1"/>
    <col min="2321" max="2321" width="60.90625" style="1" customWidth="1"/>
    <col min="2322" max="2322" width="1.6328125" style="1" customWidth="1"/>
    <col min="2323" max="2323" width="4.54296875" style="1" customWidth="1"/>
    <col min="2324" max="2324" width="1.6328125" style="1" customWidth="1"/>
    <col min="2325" max="2325" width="0.90625" style="1" customWidth="1"/>
    <col min="2326" max="2560" width="9.08984375" style="1" hidden="1"/>
    <col min="2561" max="2561" width="1.08984375" style="1" customWidth="1"/>
    <col min="2562" max="2562" width="10.6328125" style="1" customWidth="1"/>
    <col min="2563" max="2563" width="1.6328125" style="1" customWidth="1"/>
    <col min="2564" max="2564" width="30.6328125" style="1" customWidth="1"/>
    <col min="2565" max="2565" width="1.90625" style="1" customWidth="1"/>
    <col min="2566" max="2566" width="8" style="1" customWidth="1"/>
    <col min="2567" max="2567" width="1.6328125" style="1" customWidth="1"/>
    <col min="2568" max="2568" width="11" style="1" customWidth="1"/>
    <col min="2569" max="2569" width="1.6328125" style="1" customWidth="1"/>
    <col min="2570" max="2571" width="23.54296875" style="1" customWidth="1"/>
    <col min="2572" max="2572" width="1.6328125" style="1" customWidth="1"/>
    <col min="2573" max="2573" width="4.54296875" style="1" customWidth="1"/>
    <col min="2574" max="2574" width="1.6328125" style="1" customWidth="1"/>
    <col min="2575" max="2575" width="10.6328125" style="1" customWidth="1"/>
    <col min="2576" max="2576" width="1.6328125" style="1" customWidth="1"/>
    <col min="2577" max="2577" width="60.90625" style="1" customWidth="1"/>
    <col min="2578" max="2578" width="1.6328125" style="1" customWidth="1"/>
    <col min="2579" max="2579" width="4.54296875" style="1" customWidth="1"/>
    <col min="2580" max="2580" width="1.6328125" style="1" customWidth="1"/>
    <col min="2581" max="2581" width="0.90625" style="1" customWidth="1"/>
    <col min="2582" max="2816" width="9.08984375" style="1" hidden="1"/>
    <col min="2817" max="2817" width="1.08984375" style="1" customWidth="1"/>
    <col min="2818" max="2818" width="10.6328125" style="1" customWidth="1"/>
    <col min="2819" max="2819" width="1.6328125" style="1" customWidth="1"/>
    <col min="2820" max="2820" width="30.6328125" style="1" customWidth="1"/>
    <col min="2821" max="2821" width="1.90625" style="1" customWidth="1"/>
    <col min="2822" max="2822" width="8" style="1" customWidth="1"/>
    <col min="2823" max="2823" width="1.6328125" style="1" customWidth="1"/>
    <col min="2824" max="2824" width="11" style="1" customWidth="1"/>
    <col min="2825" max="2825" width="1.6328125" style="1" customWidth="1"/>
    <col min="2826" max="2827" width="23.54296875" style="1" customWidth="1"/>
    <col min="2828" max="2828" width="1.6328125" style="1" customWidth="1"/>
    <col min="2829" max="2829" width="4.54296875" style="1" customWidth="1"/>
    <col min="2830" max="2830" width="1.6328125" style="1" customWidth="1"/>
    <col min="2831" max="2831" width="10.6328125" style="1" customWidth="1"/>
    <col min="2832" max="2832" width="1.6328125" style="1" customWidth="1"/>
    <col min="2833" max="2833" width="60.90625" style="1" customWidth="1"/>
    <col min="2834" max="2834" width="1.6328125" style="1" customWidth="1"/>
    <col min="2835" max="2835" width="4.54296875" style="1" customWidth="1"/>
    <col min="2836" max="2836" width="1.6328125" style="1" customWidth="1"/>
    <col min="2837" max="2837" width="0.90625" style="1" customWidth="1"/>
    <col min="2838" max="3072" width="9.08984375" style="1" hidden="1"/>
    <col min="3073" max="3073" width="1.08984375" style="1" customWidth="1"/>
    <col min="3074" max="3074" width="10.6328125" style="1" customWidth="1"/>
    <col min="3075" max="3075" width="1.6328125" style="1" customWidth="1"/>
    <col min="3076" max="3076" width="30.6328125" style="1" customWidth="1"/>
    <col min="3077" max="3077" width="1.90625" style="1" customWidth="1"/>
    <col min="3078" max="3078" width="8" style="1" customWidth="1"/>
    <col min="3079" max="3079" width="1.6328125" style="1" customWidth="1"/>
    <col min="3080" max="3080" width="11" style="1" customWidth="1"/>
    <col min="3081" max="3081" width="1.6328125" style="1" customWidth="1"/>
    <col min="3082" max="3083" width="23.54296875" style="1" customWidth="1"/>
    <col min="3084" max="3084" width="1.6328125" style="1" customWidth="1"/>
    <col min="3085" max="3085" width="4.54296875" style="1" customWidth="1"/>
    <col min="3086" max="3086" width="1.6328125" style="1" customWidth="1"/>
    <col min="3087" max="3087" width="10.6328125" style="1" customWidth="1"/>
    <col min="3088" max="3088" width="1.6328125" style="1" customWidth="1"/>
    <col min="3089" max="3089" width="60.90625" style="1" customWidth="1"/>
    <col min="3090" max="3090" width="1.6328125" style="1" customWidth="1"/>
    <col min="3091" max="3091" width="4.54296875" style="1" customWidth="1"/>
    <col min="3092" max="3092" width="1.6328125" style="1" customWidth="1"/>
    <col min="3093" max="3093" width="0.90625" style="1" customWidth="1"/>
    <col min="3094" max="3328" width="9.08984375" style="1" hidden="1"/>
    <col min="3329" max="3329" width="1.08984375" style="1" customWidth="1"/>
    <col min="3330" max="3330" width="10.6328125" style="1" customWidth="1"/>
    <col min="3331" max="3331" width="1.6328125" style="1" customWidth="1"/>
    <col min="3332" max="3332" width="30.6328125" style="1" customWidth="1"/>
    <col min="3333" max="3333" width="1.90625" style="1" customWidth="1"/>
    <col min="3334" max="3334" width="8" style="1" customWidth="1"/>
    <col min="3335" max="3335" width="1.6328125" style="1" customWidth="1"/>
    <col min="3336" max="3336" width="11" style="1" customWidth="1"/>
    <col min="3337" max="3337" width="1.6328125" style="1" customWidth="1"/>
    <col min="3338" max="3339" width="23.54296875" style="1" customWidth="1"/>
    <col min="3340" max="3340" width="1.6328125" style="1" customWidth="1"/>
    <col min="3341" max="3341" width="4.54296875" style="1" customWidth="1"/>
    <col min="3342" max="3342" width="1.6328125" style="1" customWidth="1"/>
    <col min="3343" max="3343" width="10.6328125" style="1" customWidth="1"/>
    <col min="3344" max="3344" width="1.6328125" style="1" customWidth="1"/>
    <col min="3345" max="3345" width="60.90625" style="1" customWidth="1"/>
    <col min="3346" max="3346" width="1.6328125" style="1" customWidth="1"/>
    <col min="3347" max="3347" width="4.54296875" style="1" customWidth="1"/>
    <col min="3348" max="3348" width="1.6328125" style="1" customWidth="1"/>
    <col min="3349" max="3349" width="0.90625" style="1" customWidth="1"/>
    <col min="3350" max="3584" width="9.08984375" style="1" hidden="1"/>
    <col min="3585" max="3585" width="1.08984375" style="1" customWidth="1"/>
    <col min="3586" max="3586" width="10.6328125" style="1" customWidth="1"/>
    <col min="3587" max="3587" width="1.6328125" style="1" customWidth="1"/>
    <col min="3588" max="3588" width="30.6328125" style="1" customWidth="1"/>
    <col min="3589" max="3589" width="1.90625" style="1" customWidth="1"/>
    <col min="3590" max="3590" width="8" style="1" customWidth="1"/>
    <col min="3591" max="3591" width="1.6328125" style="1" customWidth="1"/>
    <col min="3592" max="3592" width="11" style="1" customWidth="1"/>
    <col min="3593" max="3593" width="1.6328125" style="1" customWidth="1"/>
    <col min="3594" max="3595" width="23.54296875" style="1" customWidth="1"/>
    <col min="3596" max="3596" width="1.6328125" style="1" customWidth="1"/>
    <col min="3597" max="3597" width="4.54296875" style="1" customWidth="1"/>
    <col min="3598" max="3598" width="1.6328125" style="1" customWidth="1"/>
    <col min="3599" max="3599" width="10.6328125" style="1" customWidth="1"/>
    <col min="3600" max="3600" width="1.6328125" style="1" customWidth="1"/>
    <col min="3601" max="3601" width="60.90625" style="1" customWidth="1"/>
    <col min="3602" max="3602" width="1.6328125" style="1" customWidth="1"/>
    <col min="3603" max="3603" width="4.54296875" style="1" customWidth="1"/>
    <col min="3604" max="3604" width="1.6328125" style="1" customWidth="1"/>
    <col min="3605" max="3605" width="0.90625" style="1" customWidth="1"/>
    <col min="3606" max="3840" width="9.08984375" style="1" hidden="1"/>
    <col min="3841" max="3841" width="1.08984375" style="1" customWidth="1"/>
    <col min="3842" max="3842" width="10.6328125" style="1" customWidth="1"/>
    <col min="3843" max="3843" width="1.6328125" style="1" customWidth="1"/>
    <col min="3844" max="3844" width="30.6328125" style="1" customWidth="1"/>
    <col min="3845" max="3845" width="1.90625" style="1" customWidth="1"/>
    <col min="3846" max="3846" width="8" style="1" customWidth="1"/>
    <col min="3847" max="3847" width="1.6328125" style="1" customWidth="1"/>
    <col min="3848" max="3848" width="11" style="1" customWidth="1"/>
    <col min="3849" max="3849" width="1.6328125" style="1" customWidth="1"/>
    <col min="3850" max="3851" width="23.54296875" style="1" customWidth="1"/>
    <col min="3852" max="3852" width="1.6328125" style="1" customWidth="1"/>
    <col min="3853" max="3853" width="4.54296875" style="1" customWidth="1"/>
    <col min="3854" max="3854" width="1.6328125" style="1" customWidth="1"/>
    <col min="3855" max="3855" width="10.6328125" style="1" customWidth="1"/>
    <col min="3856" max="3856" width="1.6328125" style="1" customWidth="1"/>
    <col min="3857" max="3857" width="60.90625" style="1" customWidth="1"/>
    <col min="3858" max="3858" width="1.6328125" style="1" customWidth="1"/>
    <col min="3859" max="3859" width="4.54296875" style="1" customWidth="1"/>
    <col min="3860" max="3860" width="1.6328125" style="1" customWidth="1"/>
    <col min="3861" max="3861" width="0.90625" style="1" customWidth="1"/>
    <col min="3862" max="4096" width="9.08984375" style="1" hidden="1"/>
    <col min="4097" max="4097" width="1.08984375" style="1" customWidth="1"/>
    <col min="4098" max="4098" width="10.6328125" style="1" customWidth="1"/>
    <col min="4099" max="4099" width="1.6328125" style="1" customWidth="1"/>
    <col min="4100" max="4100" width="30.6328125" style="1" customWidth="1"/>
    <col min="4101" max="4101" width="1.90625" style="1" customWidth="1"/>
    <col min="4102" max="4102" width="8" style="1" customWidth="1"/>
    <col min="4103" max="4103" width="1.6328125" style="1" customWidth="1"/>
    <col min="4104" max="4104" width="11" style="1" customWidth="1"/>
    <col min="4105" max="4105" width="1.6328125" style="1" customWidth="1"/>
    <col min="4106" max="4107" width="23.54296875" style="1" customWidth="1"/>
    <col min="4108" max="4108" width="1.6328125" style="1" customWidth="1"/>
    <col min="4109" max="4109" width="4.54296875" style="1" customWidth="1"/>
    <col min="4110" max="4110" width="1.6328125" style="1" customWidth="1"/>
    <col min="4111" max="4111" width="10.6328125" style="1" customWidth="1"/>
    <col min="4112" max="4112" width="1.6328125" style="1" customWidth="1"/>
    <col min="4113" max="4113" width="60.90625" style="1" customWidth="1"/>
    <col min="4114" max="4114" width="1.6328125" style="1" customWidth="1"/>
    <col min="4115" max="4115" width="4.54296875" style="1" customWidth="1"/>
    <col min="4116" max="4116" width="1.6328125" style="1" customWidth="1"/>
    <col min="4117" max="4117" width="0.90625" style="1" customWidth="1"/>
    <col min="4118" max="4352" width="9.08984375" style="1" hidden="1"/>
    <col min="4353" max="4353" width="1.08984375" style="1" customWidth="1"/>
    <col min="4354" max="4354" width="10.6328125" style="1" customWidth="1"/>
    <col min="4355" max="4355" width="1.6328125" style="1" customWidth="1"/>
    <col min="4356" max="4356" width="30.6328125" style="1" customWidth="1"/>
    <col min="4357" max="4357" width="1.90625" style="1" customWidth="1"/>
    <col min="4358" max="4358" width="8" style="1" customWidth="1"/>
    <col min="4359" max="4359" width="1.6328125" style="1" customWidth="1"/>
    <col min="4360" max="4360" width="11" style="1" customWidth="1"/>
    <col min="4361" max="4361" width="1.6328125" style="1" customWidth="1"/>
    <col min="4362" max="4363" width="23.54296875" style="1" customWidth="1"/>
    <col min="4364" max="4364" width="1.6328125" style="1" customWidth="1"/>
    <col min="4365" max="4365" width="4.54296875" style="1" customWidth="1"/>
    <col min="4366" max="4366" width="1.6328125" style="1" customWidth="1"/>
    <col min="4367" max="4367" width="10.6328125" style="1" customWidth="1"/>
    <col min="4368" max="4368" width="1.6328125" style="1" customWidth="1"/>
    <col min="4369" max="4369" width="60.90625" style="1" customWidth="1"/>
    <col min="4370" max="4370" width="1.6328125" style="1" customWidth="1"/>
    <col min="4371" max="4371" width="4.54296875" style="1" customWidth="1"/>
    <col min="4372" max="4372" width="1.6328125" style="1" customWidth="1"/>
    <col min="4373" max="4373" width="0.90625" style="1" customWidth="1"/>
    <col min="4374" max="4608" width="9.08984375" style="1" hidden="1"/>
    <col min="4609" max="4609" width="1.08984375" style="1" customWidth="1"/>
    <col min="4610" max="4610" width="10.6328125" style="1" customWidth="1"/>
    <col min="4611" max="4611" width="1.6328125" style="1" customWidth="1"/>
    <col min="4612" max="4612" width="30.6328125" style="1" customWidth="1"/>
    <col min="4613" max="4613" width="1.90625" style="1" customWidth="1"/>
    <col min="4614" max="4614" width="8" style="1" customWidth="1"/>
    <col min="4615" max="4615" width="1.6328125" style="1" customWidth="1"/>
    <col min="4616" max="4616" width="11" style="1" customWidth="1"/>
    <col min="4617" max="4617" width="1.6328125" style="1" customWidth="1"/>
    <col min="4618" max="4619" width="23.54296875" style="1" customWidth="1"/>
    <col min="4620" max="4620" width="1.6328125" style="1" customWidth="1"/>
    <col min="4621" max="4621" width="4.54296875" style="1" customWidth="1"/>
    <col min="4622" max="4622" width="1.6328125" style="1" customWidth="1"/>
    <col min="4623" max="4623" width="10.6328125" style="1" customWidth="1"/>
    <col min="4624" max="4624" width="1.6328125" style="1" customWidth="1"/>
    <col min="4625" max="4625" width="60.90625" style="1" customWidth="1"/>
    <col min="4626" max="4626" width="1.6328125" style="1" customWidth="1"/>
    <col min="4627" max="4627" width="4.54296875" style="1" customWidth="1"/>
    <col min="4628" max="4628" width="1.6328125" style="1" customWidth="1"/>
    <col min="4629" max="4629" width="0.90625" style="1" customWidth="1"/>
    <col min="4630" max="4864" width="9.08984375" style="1" hidden="1"/>
    <col min="4865" max="4865" width="1.08984375" style="1" customWidth="1"/>
    <col min="4866" max="4866" width="10.6328125" style="1" customWidth="1"/>
    <col min="4867" max="4867" width="1.6328125" style="1" customWidth="1"/>
    <col min="4868" max="4868" width="30.6328125" style="1" customWidth="1"/>
    <col min="4869" max="4869" width="1.90625" style="1" customWidth="1"/>
    <col min="4870" max="4870" width="8" style="1" customWidth="1"/>
    <col min="4871" max="4871" width="1.6328125" style="1" customWidth="1"/>
    <col min="4872" max="4872" width="11" style="1" customWidth="1"/>
    <col min="4873" max="4873" width="1.6328125" style="1" customWidth="1"/>
    <col min="4874" max="4875" width="23.54296875" style="1" customWidth="1"/>
    <col min="4876" max="4876" width="1.6328125" style="1" customWidth="1"/>
    <col min="4877" max="4877" width="4.54296875" style="1" customWidth="1"/>
    <col min="4878" max="4878" width="1.6328125" style="1" customWidth="1"/>
    <col min="4879" max="4879" width="10.6328125" style="1" customWidth="1"/>
    <col min="4880" max="4880" width="1.6328125" style="1" customWidth="1"/>
    <col min="4881" max="4881" width="60.90625" style="1" customWidth="1"/>
    <col min="4882" max="4882" width="1.6328125" style="1" customWidth="1"/>
    <col min="4883" max="4883" width="4.54296875" style="1" customWidth="1"/>
    <col min="4884" max="4884" width="1.6328125" style="1" customWidth="1"/>
    <col min="4885" max="4885" width="0.90625" style="1" customWidth="1"/>
    <col min="4886" max="5120" width="9.08984375" style="1" hidden="1"/>
    <col min="5121" max="5121" width="1.08984375" style="1" customWidth="1"/>
    <col min="5122" max="5122" width="10.6328125" style="1" customWidth="1"/>
    <col min="5123" max="5123" width="1.6328125" style="1" customWidth="1"/>
    <col min="5124" max="5124" width="30.6328125" style="1" customWidth="1"/>
    <col min="5125" max="5125" width="1.90625" style="1" customWidth="1"/>
    <col min="5126" max="5126" width="8" style="1" customWidth="1"/>
    <col min="5127" max="5127" width="1.6328125" style="1" customWidth="1"/>
    <col min="5128" max="5128" width="11" style="1" customWidth="1"/>
    <col min="5129" max="5129" width="1.6328125" style="1" customWidth="1"/>
    <col min="5130" max="5131" width="23.54296875" style="1" customWidth="1"/>
    <col min="5132" max="5132" width="1.6328125" style="1" customWidth="1"/>
    <col min="5133" max="5133" width="4.54296875" style="1" customWidth="1"/>
    <col min="5134" max="5134" width="1.6328125" style="1" customWidth="1"/>
    <col min="5135" max="5135" width="10.6328125" style="1" customWidth="1"/>
    <col min="5136" max="5136" width="1.6328125" style="1" customWidth="1"/>
    <col min="5137" max="5137" width="60.90625" style="1" customWidth="1"/>
    <col min="5138" max="5138" width="1.6328125" style="1" customWidth="1"/>
    <col min="5139" max="5139" width="4.54296875" style="1" customWidth="1"/>
    <col min="5140" max="5140" width="1.6328125" style="1" customWidth="1"/>
    <col min="5141" max="5141" width="0.90625" style="1" customWidth="1"/>
    <col min="5142" max="5376" width="9.08984375" style="1" hidden="1"/>
    <col min="5377" max="5377" width="1.08984375" style="1" customWidth="1"/>
    <col min="5378" max="5378" width="10.6328125" style="1" customWidth="1"/>
    <col min="5379" max="5379" width="1.6328125" style="1" customWidth="1"/>
    <col min="5380" max="5380" width="30.6328125" style="1" customWidth="1"/>
    <col min="5381" max="5381" width="1.90625" style="1" customWidth="1"/>
    <col min="5382" max="5382" width="8" style="1" customWidth="1"/>
    <col min="5383" max="5383" width="1.6328125" style="1" customWidth="1"/>
    <col min="5384" max="5384" width="11" style="1" customWidth="1"/>
    <col min="5385" max="5385" width="1.6328125" style="1" customWidth="1"/>
    <col min="5386" max="5387" width="23.54296875" style="1" customWidth="1"/>
    <col min="5388" max="5388" width="1.6328125" style="1" customWidth="1"/>
    <col min="5389" max="5389" width="4.54296875" style="1" customWidth="1"/>
    <col min="5390" max="5390" width="1.6328125" style="1" customWidth="1"/>
    <col min="5391" max="5391" width="10.6328125" style="1" customWidth="1"/>
    <col min="5392" max="5392" width="1.6328125" style="1" customWidth="1"/>
    <col min="5393" max="5393" width="60.90625" style="1" customWidth="1"/>
    <col min="5394" max="5394" width="1.6328125" style="1" customWidth="1"/>
    <col min="5395" max="5395" width="4.54296875" style="1" customWidth="1"/>
    <col min="5396" max="5396" width="1.6328125" style="1" customWidth="1"/>
    <col min="5397" max="5397" width="0.90625" style="1" customWidth="1"/>
    <col min="5398" max="5632" width="9.08984375" style="1" hidden="1"/>
    <col min="5633" max="5633" width="1.08984375" style="1" customWidth="1"/>
    <col min="5634" max="5634" width="10.6328125" style="1" customWidth="1"/>
    <col min="5635" max="5635" width="1.6328125" style="1" customWidth="1"/>
    <col min="5636" max="5636" width="30.6328125" style="1" customWidth="1"/>
    <col min="5637" max="5637" width="1.90625" style="1" customWidth="1"/>
    <col min="5638" max="5638" width="8" style="1" customWidth="1"/>
    <col min="5639" max="5639" width="1.6328125" style="1" customWidth="1"/>
    <col min="5640" max="5640" width="11" style="1" customWidth="1"/>
    <col min="5641" max="5641" width="1.6328125" style="1" customWidth="1"/>
    <col min="5642" max="5643" width="23.54296875" style="1" customWidth="1"/>
    <col min="5644" max="5644" width="1.6328125" style="1" customWidth="1"/>
    <col min="5645" max="5645" width="4.54296875" style="1" customWidth="1"/>
    <col min="5646" max="5646" width="1.6328125" style="1" customWidth="1"/>
    <col min="5647" max="5647" width="10.6328125" style="1" customWidth="1"/>
    <col min="5648" max="5648" width="1.6328125" style="1" customWidth="1"/>
    <col min="5649" max="5649" width="60.90625" style="1" customWidth="1"/>
    <col min="5650" max="5650" width="1.6328125" style="1" customWidth="1"/>
    <col min="5651" max="5651" width="4.54296875" style="1" customWidth="1"/>
    <col min="5652" max="5652" width="1.6328125" style="1" customWidth="1"/>
    <col min="5653" max="5653" width="0.90625" style="1" customWidth="1"/>
    <col min="5654" max="5888" width="9.08984375" style="1" hidden="1"/>
    <col min="5889" max="5889" width="1.08984375" style="1" customWidth="1"/>
    <col min="5890" max="5890" width="10.6328125" style="1" customWidth="1"/>
    <col min="5891" max="5891" width="1.6328125" style="1" customWidth="1"/>
    <col min="5892" max="5892" width="30.6328125" style="1" customWidth="1"/>
    <col min="5893" max="5893" width="1.90625" style="1" customWidth="1"/>
    <col min="5894" max="5894" width="8" style="1" customWidth="1"/>
    <col min="5895" max="5895" width="1.6328125" style="1" customWidth="1"/>
    <col min="5896" max="5896" width="11" style="1" customWidth="1"/>
    <col min="5897" max="5897" width="1.6328125" style="1" customWidth="1"/>
    <col min="5898" max="5899" width="23.54296875" style="1" customWidth="1"/>
    <col min="5900" max="5900" width="1.6328125" style="1" customWidth="1"/>
    <col min="5901" max="5901" width="4.54296875" style="1" customWidth="1"/>
    <col min="5902" max="5902" width="1.6328125" style="1" customWidth="1"/>
    <col min="5903" max="5903" width="10.6328125" style="1" customWidth="1"/>
    <col min="5904" max="5904" width="1.6328125" style="1" customWidth="1"/>
    <col min="5905" max="5905" width="60.90625" style="1" customWidth="1"/>
    <col min="5906" max="5906" width="1.6328125" style="1" customWidth="1"/>
    <col min="5907" max="5907" width="4.54296875" style="1" customWidth="1"/>
    <col min="5908" max="5908" width="1.6328125" style="1" customWidth="1"/>
    <col min="5909" max="5909" width="0.90625" style="1" customWidth="1"/>
    <col min="5910" max="6144" width="9.08984375" style="1" hidden="1"/>
    <col min="6145" max="6145" width="1.08984375" style="1" customWidth="1"/>
    <col min="6146" max="6146" width="10.6328125" style="1" customWidth="1"/>
    <col min="6147" max="6147" width="1.6328125" style="1" customWidth="1"/>
    <col min="6148" max="6148" width="30.6328125" style="1" customWidth="1"/>
    <col min="6149" max="6149" width="1.90625" style="1" customWidth="1"/>
    <col min="6150" max="6150" width="8" style="1" customWidth="1"/>
    <col min="6151" max="6151" width="1.6328125" style="1" customWidth="1"/>
    <col min="6152" max="6152" width="11" style="1" customWidth="1"/>
    <col min="6153" max="6153" width="1.6328125" style="1" customWidth="1"/>
    <col min="6154" max="6155" width="23.54296875" style="1" customWidth="1"/>
    <col min="6156" max="6156" width="1.6328125" style="1" customWidth="1"/>
    <col min="6157" max="6157" width="4.54296875" style="1" customWidth="1"/>
    <col min="6158" max="6158" width="1.6328125" style="1" customWidth="1"/>
    <col min="6159" max="6159" width="10.6328125" style="1" customWidth="1"/>
    <col min="6160" max="6160" width="1.6328125" style="1" customWidth="1"/>
    <col min="6161" max="6161" width="60.90625" style="1" customWidth="1"/>
    <col min="6162" max="6162" width="1.6328125" style="1" customWidth="1"/>
    <col min="6163" max="6163" width="4.54296875" style="1" customWidth="1"/>
    <col min="6164" max="6164" width="1.6328125" style="1" customWidth="1"/>
    <col min="6165" max="6165" width="0.90625" style="1" customWidth="1"/>
    <col min="6166" max="6400" width="9.08984375" style="1" hidden="1"/>
    <col min="6401" max="6401" width="1.08984375" style="1" customWidth="1"/>
    <col min="6402" max="6402" width="10.6328125" style="1" customWidth="1"/>
    <col min="6403" max="6403" width="1.6328125" style="1" customWidth="1"/>
    <col min="6404" max="6404" width="30.6328125" style="1" customWidth="1"/>
    <col min="6405" max="6405" width="1.90625" style="1" customWidth="1"/>
    <col min="6406" max="6406" width="8" style="1" customWidth="1"/>
    <col min="6407" max="6407" width="1.6328125" style="1" customWidth="1"/>
    <col min="6408" max="6408" width="11" style="1" customWidth="1"/>
    <col min="6409" max="6409" width="1.6328125" style="1" customWidth="1"/>
    <col min="6410" max="6411" width="23.54296875" style="1" customWidth="1"/>
    <col min="6412" max="6412" width="1.6328125" style="1" customWidth="1"/>
    <col min="6413" max="6413" width="4.54296875" style="1" customWidth="1"/>
    <col min="6414" max="6414" width="1.6328125" style="1" customWidth="1"/>
    <col min="6415" max="6415" width="10.6328125" style="1" customWidth="1"/>
    <col min="6416" max="6416" width="1.6328125" style="1" customWidth="1"/>
    <col min="6417" max="6417" width="60.90625" style="1" customWidth="1"/>
    <col min="6418" max="6418" width="1.6328125" style="1" customWidth="1"/>
    <col min="6419" max="6419" width="4.54296875" style="1" customWidth="1"/>
    <col min="6420" max="6420" width="1.6328125" style="1" customWidth="1"/>
    <col min="6421" max="6421" width="0.90625" style="1" customWidth="1"/>
    <col min="6422" max="6656" width="9.08984375" style="1" hidden="1"/>
    <col min="6657" max="6657" width="1.08984375" style="1" customWidth="1"/>
    <col min="6658" max="6658" width="10.6328125" style="1" customWidth="1"/>
    <col min="6659" max="6659" width="1.6328125" style="1" customWidth="1"/>
    <col min="6660" max="6660" width="30.6328125" style="1" customWidth="1"/>
    <col min="6661" max="6661" width="1.90625" style="1" customWidth="1"/>
    <col min="6662" max="6662" width="8" style="1" customWidth="1"/>
    <col min="6663" max="6663" width="1.6328125" style="1" customWidth="1"/>
    <col min="6664" max="6664" width="11" style="1" customWidth="1"/>
    <col min="6665" max="6665" width="1.6328125" style="1" customWidth="1"/>
    <col min="6666" max="6667" width="23.54296875" style="1" customWidth="1"/>
    <col min="6668" max="6668" width="1.6328125" style="1" customWidth="1"/>
    <col min="6669" max="6669" width="4.54296875" style="1" customWidth="1"/>
    <col min="6670" max="6670" width="1.6328125" style="1" customWidth="1"/>
    <col min="6671" max="6671" width="10.6328125" style="1" customWidth="1"/>
    <col min="6672" max="6672" width="1.6328125" style="1" customWidth="1"/>
    <col min="6673" max="6673" width="60.90625" style="1" customWidth="1"/>
    <col min="6674" max="6674" width="1.6328125" style="1" customWidth="1"/>
    <col min="6675" max="6675" width="4.54296875" style="1" customWidth="1"/>
    <col min="6676" max="6676" width="1.6328125" style="1" customWidth="1"/>
    <col min="6677" max="6677" width="0.90625" style="1" customWidth="1"/>
    <col min="6678" max="6912" width="9.08984375" style="1" hidden="1"/>
    <col min="6913" max="6913" width="1.08984375" style="1" customWidth="1"/>
    <col min="6914" max="6914" width="10.6328125" style="1" customWidth="1"/>
    <col min="6915" max="6915" width="1.6328125" style="1" customWidth="1"/>
    <col min="6916" max="6916" width="30.6328125" style="1" customWidth="1"/>
    <col min="6917" max="6917" width="1.90625" style="1" customWidth="1"/>
    <col min="6918" max="6918" width="8" style="1" customWidth="1"/>
    <col min="6919" max="6919" width="1.6328125" style="1" customWidth="1"/>
    <col min="6920" max="6920" width="11" style="1" customWidth="1"/>
    <col min="6921" max="6921" width="1.6328125" style="1" customWidth="1"/>
    <col min="6922" max="6923" width="23.54296875" style="1" customWidth="1"/>
    <col min="6924" max="6924" width="1.6328125" style="1" customWidth="1"/>
    <col min="6925" max="6925" width="4.54296875" style="1" customWidth="1"/>
    <col min="6926" max="6926" width="1.6328125" style="1" customWidth="1"/>
    <col min="6927" max="6927" width="10.6328125" style="1" customWidth="1"/>
    <col min="6928" max="6928" width="1.6328125" style="1" customWidth="1"/>
    <col min="6929" max="6929" width="60.90625" style="1" customWidth="1"/>
    <col min="6930" max="6930" width="1.6328125" style="1" customWidth="1"/>
    <col min="6931" max="6931" width="4.54296875" style="1" customWidth="1"/>
    <col min="6932" max="6932" width="1.6328125" style="1" customWidth="1"/>
    <col min="6933" max="6933" width="0.90625" style="1" customWidth="1"/>
    <col min="6934" max="7168" width="9.08984375" style="1" hidden="1"/>
    <col min="7169" max="7169" width="1.08984375" style="1" customWidth="1"/>
    <col min="7170" max="7170" width="10.6328125" style="1" customWidth="1"/>
    <col min="7171" max="7171" width="1.6328125" style="1" customWidth="1"/>
    <col min="7172" max="7172" width="30.6328125" style="1" customWidth="1"/>
    <col min="7173" max="7173" width="1.90625" style="1" customWidth="1"/>
    <col min="7174" max="7174" width="8" style="1" customWidth="1"/>
    <col min="7175" max="7175" width="1.6328125" style="1" customWidth="1"/>
    <col min="7176" max="7176" width="11" style="1" customWidth="1"/>
    <col min="7177" max="7177" width="1.6328125" style="1" customWidth="1"/>
    <col min="7178" max="7179" width="23.54296875" style="1" customWidth="1"/>
    <col min="7180" max="7180" width="1.6328125" style="1" customWidth="1"/>
    <col min="7181" max="7181" width="4.54296875" style="1" customWidth="1"/>
    <col min="7182" max="7182" width="1.6328125" style="1" customWidth="1"/>
    <col min="7183" max="7183" width="10.6328125" style="1" customWidth="1"/>
    <col min="7184" max="7184" width="1.6328125" style="1" customWidth="1"/>
    <col min="7185" max="7185" width="60.90625" style="1" customWidth="1"/>
    <col min="7186" max="7186" width="1.6328125" style="1" customWidth="1"/>
    <col min="7187" max="7187" width="4.54296875" style="1" customWidth="1"/>
    <col min="7188" max="7188" width="1.6328125" style="1" customWidth="1"/>
    <col min="7189" max="7189" width="0.90625" style="1" customWidth="1"/>
    <col min="7190" max="7424" width="9.08984375" style="1" hidden="1"/>
    <col min="7425" max="7425" width="1.08984375" style="1" customWidth="1"/>
    <col min="7426" max="7426" width="10.6328125" style="1" customWidth="1"/>
    <col min="7427" max="7427" width="1.6328125" style="1" customWidth="1"/>
    <col min="7428" max="7428" width="30.6328125" style="1" customWidth="1"/>
    <col min="7429" max="7429" width="1.90625" style="1" customWidth="1"/>
    <col min="7430" max="7430" width="8" style="1" customWidth="1"/>
    <col min="7431" max="7431" width="1.6328125" style="1" customWidth="1"/>
    <col min="7432" max="7432" width="11" style="1" customWidth="1"/>
    <col min="7433" max="7433" width="1.6328125" style="1" customWidth="1"/>
    <col min="7434" max="7435" width="23.54296875" style="1" customWidth="1"/>
    <col min="7436" max="7436" width="1.6328125" style="1" customWidth="1"/>
    <col min="7437" max="7437" width="4.54296875" style="1" customWidth="1"/>
    <col min="7438" max="7438" width="1.6328125" style="1" customWidth="1"/>
    <col min="7439" max="7439" width="10.6328125" style="1" customWidth="1"/>
    <col min="7440" max="7440" width="1.6328125" style="1" customWidth="1"/>
    <col min="7441" max="7441" width="60.90625" style="1" customWidth="1"/>
    <col min="7442" max="7442" width="1.6328125" style="1" customWidth="1"/>
    <col min="7443" max="7443" width="4.54296875" style="1" customWidth="1"/>
    <col min="7444" max="7444" width="1.6328125" style="1" customWidth="1"/>
    <col min="7445" max="7445" width="0.90625" style="1" customWidth="1"/>
    <col min="7446" max="7680" width="9.08984375" style="1" hidden="1"/>
    <col min="7681" max="7681" width="1.08984375" style="1" customWidth="1"/>
    <col min="7682" max="7682" width="10.6328125" style="1" customWidth="1"/>
    <col min="7683" max="7683" width="1.6328125" style="1" customWidth="1"/>
    <col min="7684" max="7684" width="30.6328125" style="1" customWidth="1"/>
    <col min="7685" max="7685" width="1.90625" style="1" customWidth="1"/>
    <col min="7686" max="7686" width="8" style="1" customWidth="1"/>
    <col min="7687" max="7687" width="1.6328125" style="1" customWidth="1"/>
    <col min="7688" max="7688" width="11" style="1" customWidth="1"/>
    <col min="7689" max="7689" width="1.6328125" style="1" customWidth="1"/>
    <col min="7690" max="7691" width="23.54296875" style="1" customWidth="1"/>
    <col min="7692" max="7692" width="1.6328125" style="1" customWidth="1"/>
    <col min="7693" max="7693" width="4.54296875" style="1" customWidth="1"/>
    <col min="7694" max="7694" width="1.6328125" style="1" customWidth="1"/>
    <col min="7695" max="7695" width="10.6328125" style="1" customWidth="1"/>
    <col min="7696" max="7696" width="1.6328125" style="1" customWidth="1"/>
    <col min="7697" max="7697" width="60.90625" style="1" customWidth="1"/>
    <col min="7698" max="7698" width="1.6328125" style="1" customWidth="1"/>
    <col min="7699" max="7699" width="4.54296875" style="1" customWidth="1"/>
    <col min="7700" max="7700" width="1.6328125" style="1" customWidth="1"/>
    <col min="7701" max="7701" width="0.90625" style="1" customWidth="1"/>
    <col min="7702" max="7936" width="9.08984375" style="1" hidden="1"/>
    <col min="7937" max="7937" width="1.08984375" style="1" customWidth="1"/>
    <col min="7938" max="7938" width="10.6328125" style="1" customWidth="1"/>
    <col min="7939" max="7939" width="1.6328125" style="1" customWidth="1"/>
    <col min="7940" max="7940" width="30.6328125" style="1" customWidth="1"/>
    <col min="7941" max="7941" width="1.90625" style="1" customWidth="1"/>
    <col min="7942" max="7942" width="8" style="1" customWidth="1"/>
    <col min="7943" max="7943" width="1.6328125" style="1" customWidth="1"/>
    <col min="7944" max="7944" width="11" style="1" customWidth="1"/>
    <col min="7945" max="7945" width="1.6328125" style="1" customWidth="1"/>
    <col min="7946" max="7947" width="23.54296875" style="1" customWidth="1"/>
    <col min="7948" max="7948" width="1.6328125" style="1" customWidth="1"/>
    <col min="7949" max="7949" width="4.54296875" style="1" customWidth="1"/>
    <col min="7950" max="7950" width="1.6328125" style="1" customWidth="1"/>
    <col min="7951" max="7951" width="10.6328125" style="1" customWidth="1"/>
    <col min="7952" max="7952" width="1.6328125" style="1" customWidth="1"/>
    <col min="7953" max="7953" width="60.90625" style="1" customWidth="1"/>
    <col min="7954" max="7954" width="1.6328125" style="1" customWidth="1"/>
    <col min="7955" max="7955" width="4.54296875" style="1" customWidth="1"/>
    <col min="7956" max="7956" width="1.6328125" style="1" customWidth="1"/>
    <col min="7957" max="7957" width="0.90625" style="1" customWidth="1"/>
    <col min="7958" max="8192" width="9.08984375" style="1" hidden="1"/>
    <col min="8193" max="8193" width="1.08984375" style="1" customWidth="1"/>
    <col min="8194" max="8194" width="10.6328125" style="1" customWidth="1"/>
    <col min="8195" max="8195" width="1.6328125" style="1" customWidth="1"/>
    <col min="8196" max="8196" width="30.6328125" style="1" customWidth="1"/>
    <col min="8197" max="8197" width="1.90625" style="1" customWidth="1"/>
    <col min="8198" max="8198" width="8" style="1" customWidth="1"/>
    <col min="8199" max="8199" width="1.6328125" style="1" customWidth="1"/>
    <col min="8200" max="8200" width="11" style="1" customWidth="1"/>
    <col min="8201" max="8201" width="1.6328125" style="1" customWidth="1"/>
    <col min="8202" max="8203" width="23.54296875" style="1" customWidth="1"/>
    <col min="8204" max="8204" width="1.6328125" style="1" customWidth="1"/>
    <col min="8205" max="8205" width="4.54296875" style="1" customWidth="1"/>
    <col min="8206" max="8206" width="1.6328125" style="1" customWidth="1"/>
    <col min="8207" max="8207" width="10.6328125" style="1" customWidth="1"/>
    <col min="8208" max="8208" width="1.6328125" style="1" customWidth="1"/>
    <col min="8209" max="8209" width="60.90625" style="1" customWidth="1"/>
    <col min="8210" max="8210" width="1.6328125" style="1" customWidth="1"/>
    <col min="8211" max="8211" width="4.54296875" style="1" customWidth="1"/>
    <col min="8212" max="8212" width="1.6328125" style="1" customWidth="1"/>
    <col min="8213" max="8213" width="0.90625" style="1" customWidth="1"/>
    <col min="8214" max="8448" width="9.08984375" style="1" hidden="1"/>
    <col min="8449" max="8449" width="1.08984375" style="1" customWidth="1"/>
    <col min="8450" max="8450" width="10.6328125" style="1" customWidth="1"/>
    <col min="8451" max="8451" width="1.6328125" style="1" customWidth="1"/>
    <col min="8452" max="8452" width="30.6328125" style="1" customWidth="1"/>
    <col min="8453" max="8453" width="1.90625" style="1" customWidth="1"/>
    <col min="8454" max="8454" width="8" style="1" customWidth="1"/>
    <col min="8455" max="8455" width="1.6328125" style="1" customWidth="1"/>
    <col min="8456" max="8456" width="11" style="1" customWidth="1"/>
    <col min="8457" max="8457" width="1.6328125" style="1" customWidth="1"/>
    <col min="8458" max="8459" width="23.54296875" style="1" customWidth="1"/>
    <col min="8460" max="8460" width="1.6328125" style="1" customWidth="1"/>
    <col min="8461" max="8461" width="4.54296875" style="1" customWidth="1"/>
    <col min="8462" max="8462" width="1.6328125" style="1" customWidth="1"/>
    <col min="8463" max="8463" width="10.6328125" style="1" customWidth="1"/>
    <col min="8464" max="8464" width="1.6328125" style="1" customWidth="1"/>
    <col min="8465" max="8465" width="60.90625" style="1" customWidth="1"/>
    <col min="8466" max="8466" width="1.6328125" style="1" customWidth="1"/>
    <col min="8467" max="8467" width="4.54296875" style="1" customWidth="1"/>
    <col min="8468" max="8468" width="1.6328125" style="1" customWidth="1"/>
    <col min="8469" max="8469" width="0.90625" style="1" customWidth="1"/>
    <col min="8470" max="8704" width="9.08984375" style="1" hidden="1"/>
    <col min="8705" max="8705" width="1.08984375" style="1" customWidth="1"/>
    <col min="8706" max="8706" width="10.6328125" style="1" customWidth="1"/>
    <col min="8707" max="8707" width="1.6328125" style="1" customWidth="1"/>
    <col min="8708" max="8708" width="30.6328125" style="1" customWidth="1"/>
    <col min="8709" max="8709" width="1.90625" style="1" customWidth="1"/>
    <col min="8710" max="8710" width="8" style="1" customWidth="1"/>
    <col min="8711" max="8711" width="1.6328125" style="1" customWidth="1"/>
    <col min="8712" max="8712" width="11" style="1" customWidth="1"/>
    <col min="8713" max="8713" width="1.6328125" style="1" customWidth="1"/>
    <col min="8714" max="8715" width="23.54296875" style="1" customWidth="1"/>
    <col min="8716" max="8716" width="1.6328125" style="1" customWidth="1"/>
    <col min="8717" max="8717" width="4.54296875" style="1" customWidth="1"/>
    <col min="8718" max="8718" width="1.6328125" style="1" customWidth="1"/>
    <col min="8719" max="8719" width="10.6328125" style="1" customWidth="1"/>
    <col min="8720" max="8720" width="1.6328125" style="1" customWidth="1"/>
    <col min="8721" max="8721" width="60.90625" style="1" customWidth="1"/>
    <col min="8722" max="8722" width="1.6328125" style="1" customWidth="1"/>
    <col min="8723" max="8723" width="4.54296875" style="1" customWidth="1"/>
    <col min="8724" max="8724" width="1.6328125" style="1" customWidth="1"/>
    <col min="8725" max="8725" width="0.90625" style="1" customWidth="1"/>
    <col min="8726" max="8960" width="9.08984375" style="1" hidden="1"/>
    <col min="8961" max="8961" width="1.08984375" style="1" customWidth="1"/>
    <col min="8962" max="8962" width="10.6328125" style="1" customWidth="1"/>
    <col min="8963" max="8963" width="1.6328125" style="1" customWidth="1"/>
    <col min="8964" max="8964" width="30.6328125" style="1" customWidth="1"/>
    <col min="8965" max="8965" width="1.90625" style="1" customWidth="1"/>
    <col min="8966" max="8966" width="8" style="1" customWidth="1"/>
    <col min="8967" max="8967" width="1.6328125" style="1" customWidth="1"/>
    <col min="8968" max="8968" width="11" style="1" customWidth="1"/>
    <col min="8969" max="8969" width="1.6328125" style="1" customWidth="1"/>
    <col min="8970" max="8971" width="23.54296875" style="1" customWidth="1"/>
    <col min="8972" max="8972" width="1.6328125" style="1" customWidth="1"/>
    <col min="8973" max="8973" width="4.54296875" style="1" customWidth="1"/>
    <col min="8974" max="8974" width="1.6328125" style="1" customWidth="1"/>
    <col min="8975" max="8975" width="10.6328125" style="1" customWidth="1"/>
    <col min="8976" max="8976" width="1.6328125" style="1" customWidth="1"/>
    <col min="8977" max="8977" width="60.90625" style="1" customWidth="1"/>
    <col min="8978" max="8978" width="1.6328125" style="1" customWidth="1"/>
    <col min="8979" max="8979" width="4.54296875" style="1" customWidth="1"/>
    <col min="8980" max="8980" width="1.6328125" style="1" customWidth="1"/>
    <col min="8981" max="8981" width="0.90625" style="1" customWidth="1"/>
    <col min="8982" max="9216" width="9.08984375" style="1" hidden="1"/>
    <col min="9217" max="9217" width="1.08984375" style="1" customWidth="1"/>
    <col min="9218" max="9218" width="10.6328125" style="1" customWidth="1"/>
    <col min="9219" max="9219" width="1.6328125" style="1" customWidth="1"/>
    <col min="9220" max="9220" width="30.6328125" style="1" customWidth="1"/>
    <col min="9221" max="9221" width="1.90625" style="1" customWidth="1"/>
    <col min="9222" max="9222" width="8" style="1" customWidth="1"/>
    <col min="9223" max="9223" width="1.6328125" style="1" customWidth="1"/>
    <col min="9224" max="9224" width="11" style="1" customWidth="1"/>
    <col min="9225" max="9225" width="1.6328125" style="1" customWidth="1"/>
    <col min="9226" max="9227" width="23.54296875" style="1" customWidth="1"/>
    <col min="9228" max="9228" width="1.6328125" style="1" customWidth="1"/>
    <col min="9229" max="9229" width="4.54296875" style="1" customWidth="1"/>
    <col min="9230" max="9230" width="1.6328125" style="1" customWidth="1"/>
    <col min="9231" max="9231" width="10.6328125" style="1" customWidth="1"/>
    <col min="9232" max="9232" width="1.6328125" style="1" customWidth="1"/>
    <col min="9233" max="9233" width="60.90625" style="1" customWidth="1"/>
    <col min="9234" max="9234" width="1.6328125" style="1" customWidth="1"/>
    <col min="9235" max="9235" width="4.54296875" style="1" customWidth="1"/>
    <col min="9236" max="9236" width="1.6328125" style="1" customWidth="1"/>
    <col min="9237" max="9237" width="0.90625" style="1" customWidth="1"/>
    <col min="9238" max="9472" width="9.08984375" style="1" hidden="1"/>
    <col min="9473" max="9473" width="1.08984375" style="1" customWidth="1"/>
    <col min="9474" max="9474" width="10.6328125" style="1" customWidth="1"/>
    <col min="9475" max="9475" width="1.6328125" style="1" customWidth="1"/>
    <col min="9476" max="9476" width="30.6328125" style="1" customWidth="1"/>
    <col min="9477" max="9477" width="1.90625" style="1" customWidth="1"/>
    <col min="9478" max="9478" width="8" style="1" customWidth="1"/>
    <col min="9479" max="9479" width="1.6328125" style="1" customWidth="1"/>
    <col min="9480" max="9480" width="11" style="1" customWidth="1"/>
    <col min="9481" max="9481" width="1.6328125" style="1" customWidth="1"/>
    <col min="9482" max="9483" width="23.54296875" style="1" customWidth="1"/>
    <col min="9484" max="9484" width="1.6328125" style="1" customWidth="1"/>
    <col min="9485" max="9485" width="4.54296875" style="1" customWidth="1"/>
    <col min="9486" max="9486" width="1.6328125" style="1" customWidth="1"/>
    <col min="9487" max="9487" width="10.6328125" style="1" customWidth="1"/>
    <col min="9488" max="9488" width="1.6328125" style="1" customWidth="1"/>
    <col min="9489" max="9489" width="60.90625" style="1" customWidth="1"/>
    <col min="9490" max="9490" width="1.6328125" style="1" customWidth="1"/>
    <col min="9491" max="9491" width="4.54296875" style="1" customWidth="1"/>
    <col min="9492" max="9492" width="1.6328125" style="1" customWidth="1"/>
    <col min="9493" max="9493" width="0.90625" style="1" customWidth="1"/>
    <col min="9494" max="9728" width="9.08984375" style="1" hidden="1"/>
    <col min="9729" max="9729" width="1.08984375" style="1" customWidth="1"/>
    <col min="9730" max="9730" width="10.6328125" style="1" customWidth="1"/>
    <col min="9731" max="9731" width="1.6328125" style="1" customWidth="1"/>
    <col min="9732" max="9732" width="30.6328125" style="1" customWidth="1"/>
    <col min="9733" max="9733" width="1.90625" style="1" customWidth="1"/>
    <col min="9734" max="9734" width="8" style="1" customWidth="1"/>
    <col min="9735" max="9735" width="1.6328125" style="1" customWidth="1"/>
    <col min="9736" max="9736" width="11" style="1" customWidth="1"/>
    <col min="9737" max="9737" width="1.6328125" style="1" customWidth="1"/>
    <col min="9738" max="9739" width="23.54296875" style="1" customWidth="1"/>
    <col min="9740" max="9740" width="1.6328125" style="1" customWidth="1"/>
    <col min="9741" max="9741" width="4.54296875" style="1" customWidth="1"/>
    <col min="9742" max="9742" width="1.6328125" style="1" customWidth="1"/>
    <col min="9743" max="9743" width="10.6328125" style="1" customWidth="1"/>
    <col min="9744" max="9744" width="1.6328125" style="1" customWidth="1"/>
    <col min="9745" max="9745" width="60.90625" style="1" customWidth="1"/>
    <col min="9746" max="9746" width="1.6328125" style="1" customWidth="1"/>
    <col min="9747" max="9747" width="4.54296875" style="1" customWidth="1"/>
    <col min="9748" max="9748" width="1.6328125" style="1" customWidth="1"/>
    <col min="9749" max="9749" width="0.90625" style="1" customWidth="1"/>
    <col min="9750" max="9984" width="9.08984375" style="1" hidden="1"/>
    <col min="9985" max="9985" width="1.08984375" style="1" customWidth="1"/>
    <col min="9986" max="9986" width="10.6328125" style="1" customWidth="1"/>
    <col min="9987" max="9987" width="1.6328125" style="1" customWidth="1"/>
    <col min="9988" max="9988" width="30.6328125" style="1" customWidth="1"/>
    <col min="9989" max="9989" width="1.90625" style="1" customWidth="1"/>
    <col min="9990" max="9990" width="8" style="1" customWidth="1"/>
    <col min="9991" max="9991" width="1.6328125" style="1" customWidth="1"/>
    <col min="9992" max="9992" width="11" style="1" customWidth="1"/>
    <col min="9993" max="9993" width="1.6328125" style="1" customWidth="1"/>
    <col min="9994" max="9995" width="23.54296875" style="1" customWidth="1"/>
    <col min="9996" max="9996" width="1.6328125" style="1" customWidth="1"/>
    <col min="9997" max="9997" width="4.54296875" style="1" customWidth="1"/>
    <col min="9998" max="9998" width="1.6328125" style="1" customWidth="1"/>
    <col min="9999" max="9999" width="10.6328125" style="1" customWidth="1"/>
    <col min="10000" max="10000" width="1.6328125" style="1" customWidth="1"/>
    <col min="10001" max="10001" width="60.90625" style="1" customWidth="1"/>
    <col min="10002" max="10002" width="1.6328125" style="1" customWidth="1"/>
    <col min="10003" max="10003" width="4.54296875" style="1" customWidth="1"/>
    <col min="10004" max="10004" width="1.6328125" style="1" customWidth="1"/>
    <col min="10005" max="10005" width="0.90625" style="1" customWidth="1"/>
    <col min="10006" max="10240" width="9.08984375" style="1" hidden="1"/>
    <col min="10241" max="10241" width="1.08984375" style="1" customWidth="1"/>
    <col min="10242" max="10242" width="10.6328125" style="1" customWidth="1"/>
    <col min="10243" max="10243" width="1.6328125" style="1" customWidth="1"/>
    <col min="10244" max="10244" width="30.6328125" style="1" customWidth="1"/>
    <col min="10245" max="10245" width="1.90625" style="1" customWidth="1"/>
    <col min="10246" max="10246" width="8" style="1" customWidth="1"/>
    <col min="10247" max="10247" width="1.6328125" style="1" customWidth="1"/>
    <col min="10248" max="10248" width="11" style="1" customWidth="1"/>
    <col min="10249" max="10249" width="1.6328125" style="1" customWidth="1"/>
    <col min="10250" max="10251" width="23.54296875" style="1" customWidth="1"/>
    <col min="10252" max="10252" width="1.6328125" style="1" customWidth="1"/>
    <col min="10253" max="10253" width="4.54296875" style="1" customWidth="1"/>
    <col min="10254" max="10254" width="1.6328125" style="1" customWidth="1"/>
    <col min="10255" max="10255" width="10.6328125" style="1" customWidth="1"/>
    <col min="10256" max="10256" width="1.6328125" style="1" customWidth="1"/>
    <col min="10257" max="10257" width="60.90625" style="1" customWidth="1"/>
    <col min="10258" max="10258" width="1.6328125" style="1" customWidth="1"/>
    <col min="10259" max="10259" width="4.54296875" style="1" customWidth="1"/>
    <col min="10260" max="10260" width="1.6328125" style="1" customWidth="1"/>
    <col min="10261" max="10261" width="0.90625" style="1" customWidth="1"/>
    <col min="10262" max="10496" width="9.08984375" style="1" hidden="1"/>
    <col min="10497" max="10497" width="1.08984375" style="1" customWidth="1"/>
    <col min="10498" max="10498" width="10.6328125" style="1" customWidth="1"/>
    <col min="10499" max="10499" width="1.6328125" style="1" customWidth="1"/>
    <col min="10500" max="10500" width="30.6328125" style="1" customWidth="1"/>
    <col min="10501" max="10501" width="1.90625" style="1" customWidth="1"/>
    <col min="10502" max="10502" width="8" style="1" customWidth="1"/>
    <col min="10503" max="10503" width="1.6328125" style="1" customWidth="1"/>
    <col min="10504" max="10504" width="11" style="1" customWidth="1"/>
    <col min="10505" max="10505" width="1.6328125" style="1" customWidth="1"/>
    <col min="10506" max="10507" width="23.54296875" style="1" customWidth="1"/>
    <col min="10508" max="10508" width="1.6328125" style="1" customWidth="1"/>
    <col min="10509" max="10509" width="4.54296875" style="1" customWidth="1"/>
    <col min="10510" max="10510" width="1.6328125" style="1" customWidth="1"/>
    <col min="10511" max="10511" width="10.6328125" style="1" customWidth="1"/>
    <col min="10512" max="10512" width="1.6328125" style="1" customWidth="1"/>
    <col min="10513" max="10513" width="60.90625" style="1" customWidth="1"/>
    <col min="10514" max="10514" width="1.6328125" style="1" customWidth="1"/>
    <col min="10515" max="10515" width="4.54296875" style="1" customWidth="1"/>
    <col min="10516" max="10516" width="1.6328125" style="1" customWidth="1"/>
    <col min="10517" max="10517" width="0.90625" style="1" customWidth="1"/>
    <col min="10518" max="10752" width="9.08984375" style="1" hidden="1"/>
    <col min="10753" max="10753" width="1.08984375" style="1" customWidth="1"/>
    <col min="10754" max="10754" width="10.6328125" style="1" customWidth="1"/>
    <col min="10755" max="10755" width="1.6328125" style="1" customWidth="1"/>
    <col min="10756" max="10756" width="30.6328125" style="1" customWidth="1"/>
    <col min="10757" max="10757" width="1.90625" style="1" customWidth="1"/>
    <col min="10758" max="10758" width="8" style="1" customWidth="1"/>
    <col min="10759" max="10759" width="1.6328125" style="1" customWidth="1"/>
    <col min="10760" max="10760" width="11" style="1" customWidth="1"/>
    <col min="10761" max="10761" width="1.6328125" style="1" customWidth="1"/>
    <col min="10762" max="10763" width="23.54296875" style="1" customWidth="1"/>
    <col min="10764" max="10764" width="1.6328125" style="1" customWidth="1"/>
    <col min="10765" max="10765" width="4.54296875" style="1" customWidth="1"/>
    <col min="10766" max="10766" width="1.6328125" style="1" customWidth="1"/>
    <col min="10767" max="10767" width="10.6328125" style="1" customWidth="1"/>
    <col min="10768" max="10768" width="1.6328125" style="1" customWidth="1"/>
    <col min="10769" max="10769" width="60.90625" style="1" customWidth="1"/>
    <col min="10770" max="10770" width="1.6328125" style="1" customWidth="1"/>
    <col min="10771" max="10771" width="4.54296875" style="1" customWidth="1"/>
    <col min="10772" max="10772" width="1.6328125" style="1" customWidth="1"/>
    <col min="10773" max="10773" width="0.90625" style="1" customWidth="1"/>
    <col min="10774" max="11008" width="9.08984375" style="1" hidden="1"/>
    <col min="11009" max="11009" width="1.08984375" style="1" customWidth="1"/>
    <col min="11010" max="11010" width="10.6328125" style="1" customWidth="1"/>
    <col min="11011" max="11011" width="1.6328125" style="1" customWidth="1"/>
    <col min="11012" max="11012" width="30.6328125" style="1" customWidth="1"/>
    <col min="11013" max="11013" width="1.90625" style="1" customWidth="1"/>
    <col min="11014" max="11014" width="8" style="1" customWidth="1"/>
    <col min="11015" max="11015" width="1.6328125" style="1" customWidth="1"/>
    <col min="11016" max="11016" width="11" style="1" customWidth="1"/>
    <col min="11017" max="11017" width="1.6328125" style="1" customWidth="1"/>
    <col min="11018" max="11019" width="23.54296875" style="1" customWidth="1"/>
    <col min="11020" max="11020" width="1.6328125" style="1" customWidth="1"/>
    <col min="11021" max="11021" width="4.54296875" style="1" customWidth="1"/>
    <col min="11022" max="11022" width="1.6328125" style="1" customWidth="1"/>
    <col min="11023" max="11023" width="10.6328125" style="1" customWidth="1"/>
    <col min="11024" max="11024" width="1.6328125" style="1" customWidth="1"/>
    <col min="11025" max="11025" width="60.90625" style="1" customWidth="1"/>
    <col min="11026" max="11026" width="1.6328125" style="1" customWidth="1"/>
    <col min="11027" max="11027" width="4.54296875" style="1" customWidth="1"/>
    <col min="11028" max="11028" width="1.6328125" style="1" customWidth="1"/>
    <col min="11029" max="11029" width="0.90625" style="1" customWidth="1"/>
    <col min="11030" max="11264" width="9.08984375" style="1" hidden="1"/>
    <col min="11265" max="11265" width="1.08984375" style="1" customWidth="1"/>
    <col min="11266" max="11266" width="10.6328125" style="1" customWidth="1"/>
    <col min="11267" max="11267" width="1.6328125" style="1" customWidth="1"/>
    <col min="11268" max="11268" width="30.6328125" style="1" customWidth="1"/>
    <col min="11269" max="11269" width="1.90625" style="1" customWidth="1"/>
    <col min="11270" max="11270" width="8" style="1" customWidth="1"/>
    <col min="11271" max="11271" width="1.6328125" style="1" customWidth="1"/>
    <col min="11272" max="11272" width="11" style="1" customWidth="1"/>
    <col min="11273" max="11273" width="1.6328125" style="1" customWidth="1"/>
    <col min="11274" max="11275" width="23.54296875" style="1" customWidth="1"/>
    <col min="11276" max="11276" width="1.6328125" style="1" customWidth="1"/>
    <col min="11277" max="11277" width="4.54296875" style="1" customWidth="1"/>
    <col min="11278" max="11278" width="1.6328125" style="1" customWidth="1"/>
    <col min="11279" max="11279" width="10.6328125" style="1" customWidth="1"/>
    <col min="11280" max="11280" width="1.6328125" style="1" customWidth="1"/>
    <col min="11281" max="11281" width="60.90625" style="1" customWidth="1"/>
    <col min="11282" max="11282" width="1.6328125" style="1" customWidth="1"/>
    <col min="11283" max="11283" width="4.54296875" style="1" customWidth="1"/>
    <col min="11284" max="11284" width="1.6328125" style="1" customWidth="1"/>
    <col min="11285" max="11285" width="0.90625" style="1" customWidth="1"/>
    <col min="11286" max="11520" width="9.08984375" style="1" hidden="1"/>
    <col min="11521" max="11521" width="1.08984375" style="1" customWidth="1"/>
    <col min="11522" max="11522" width="10.6328125" style="1" customWidth="1"/>
    <col min="11523" max="11523" width="1.6328125" style="1" customWidth="1"/>
    <col min="11524" max="11524" width="30.6328125" style="1" customWidth="1"/>
    <col min="11525" max="11525" width="1.90625" style="1" customWidth="1"/>
    <col min="11526" max="11526" width="8" style="1" customWidth="1"/>
    <col min="11527" max="11527" width="1.6328125" style="1" customWidth="1"/>
    <col min="11528" max="11528" width="11" style="1" customWidth="1"/>
    <col min="11529" max="11529" width="1.6328125" style="1" customWidth="1"/>
    <col min="11530" max="11531" width="23.54296875" style="1" customWidth="1"/>
    <col min="11532" max="11532" width="1.6328125" style="1" customWidth="1"/>
    <col min="11533" max="11533" width="4.54296875" style="1" customWidth="1"/>
    <col min="11534" max="11534" width="1.6328125" style="1" customWidth="1"/>
    <col min="11535" max="11535" width="10.6328125" style="1" customWidth="1"/>
    <col min="11536" max="11536" width="1.6328125" style="1" customWidth="1"/>
    <col min="11537" max="11537" width="60.90625" style="1" customWidth="1"/>
    <col min="11538" max="11538" width="1.6328125" style="1" customWidth="1"/>
    <col min="11539" max="11539" width="4.54296875" style="1" customWidth="1"/>
    <col min="11540" max="11540" width="1.6328125" style="1" customWidth="1"/>
    <col min="11541" max="11541" width="0.90625" style="1" customWidth="1"/>
    <col min="11542" max="11776" width="9.08984375" style="1" hidden="1"/>
    <col min="11777" max="11777" width="1.08984375" style="1" customWidth="1"/>
    <col min="11778" max="11778" width="10.6328125" style="1" customWidth="1"/>
    <col min="11779" max="11779" width="1.6328125" style="1" customWidth="1"/>
    <col min="11780" max="11780" width="30.6328125" style="1" customWidth="1"/>
    <col min="11781" max="11781" width="1.90625" style="1" customWidth="1"/>
    <col min="11782" max="11782" width="8" style="1" customWidth="1"/>
    <col min="11783" max="11783" width="1.6328125" style="1" customWidth="1"/>
    <col min="11784" max="11784" width="11" style="1" customWidth="1"/>
    <col min="11785" max="11785" width="1.6328125" style="1" customWidth="1"/>
    <col min="11786" max="11787" width="23.54296875" style="1" customWidth="1"/>
    <col min="11788" max="11788" width="1.6328125" style="1" customWidth="1"/>
    <col min="11789" max="11789" width="4.54296875" style="1" customWidth="1"/>
    <col min="11790" max="11790" width="1.6328125" style="1" customWidth="1"/>
    <col min="11791" max="11791" width="10.6328125" style="1" customWidth="1"/>
    <col min="11792" max="11792" width="1.6328125" style="1" customWidth="1"/>
    <col min="11793" max="11793" width="60.90625" style="1" customWidth="1"/>
    <col min="11794" max="11794" width="1.6328125" style="1" customWidth="1"/>
    <col min="11795" max="11795" width="4.54296875" style="1" customWidth="1"/>
    <col min="11796" max="11796" width="1.6328125" style="1" customWidth="1"/>
    <col min="11797" max="11797" width="0.90625" style="1" customWidth="1"/>
    <col min="11798" max="12032" width="9.08984375" style="1" hidden="1"/>
    <col min="12033" max="12033" width="1.08984375" style="1" customWidth="1"/>
    <col min="12034" max="12034" width="10.6328125" style="1" customWidth="1"/>
    <col min="12035" max="12035" width="1.6328125" style="1" customWidth="1"/>
    <col min="12036" max="12036" width="30.6328125" style="1" customWidth="1"/>
    <col min="12037" max="12037" width="1.90625" style="1" customWidth="1"/>
    <col min="12038" max="12038" width="8" style="1" customWidth="1"/>
    <col min="12039" max="12039" width="1.6328125" style="1" customWidth="1"/>
    <col min="12040" max="12040" width="11" style="1" customWidth="1"/>
    <col min="12041" max="12041" width="1.6328125" style="1" customWidth="1"/>
    <col min="12042" max="12043" width="23.54296875" style="1" customWidth="1"/>
    <col min="12044" max="12044" width="1.6328125" style="1" customWidth="1"/>
    <col min="12045" max="12045" width="4.54296875" style="1" customWidth="1"/>
    <col min="12046" max="12046" width="1.6328125" style="1" customWidth="1"/>
    <col min="12047" max="12047" width="10.6328125" style="1" customWidth="1"/>
    <col min="12048" max="12048" width="1.6328125" style="1" customWidth="1"/>
    <col min="12049" max="12049" width="60.90625" style="1" customWidth="1"/>
    <col min="12050" max="12050" width="1.6328125" style="1" customWidth="1"/>
    <col min="12051" max="12051" width="4.54296875" style="1" customWidth="1"/>
    <col min="12052" max="12052" width="1.6328125" style="1" customWidth="1"/>
    <col min="12053" max="12053" width="0.90625" style="1" customWidth="1"/>
    <col min="12054" max="12288" width="9.08984375" style="1" hidden="1"/>
    <col min="12289" max="12289" width="1.08984375" style="1" customWidth="1"/>
    <col min="12290" max="12290" width="10.6328125" style="1" customWidth="1"/>
    <col min="12291" max="12291" width="1.6328125" style="1" customWidth="1"/>
    <col min="12292" max="12292" width="30.6328125" style="1" customWidth="1"/>
    <col min="12293" max="12293" width="1.90625" style="1" customWidth="1"/>
    <col min="12294" max="12294" width="8" style="1" customWidth="1"/>
    <col min="12295" max="12295" width="1.6328125" style="1" customWidth="1"/>
    <col min="12296" max="12296" width="11" style="1" customWidth="1"/>
    <col min="12297" max="12297" width="1.6328125" style="1" customWidth="1"/>
    <col min="12298" max="12299" width="23.54296875" style="1" customWidth="1"/>
    <col min="12300" max="12300" width="1.6328125" style="1" customWidth="1"/>
    <col min="12301" max="12301" width="4.54296875" style="1" customWidth="1"/>
    <col min="12302" max="12302" width="1.6328125" style="1" customWidth="1"/>
    <col min="12303" max="12303" width="10.6328125" style="1" customWidth="1"/>
    <col min="12304" max="12304" width="1.6328125" style="1" customWidth="1"/>
    <col min="12305" max="12305" width="60.90625" style="1" customWidth="1"/>
    <col min="12306" max="12306" width="1.6328125" style="1" customWidth="1"/>
    <col min="12307" max="12307" width="4.54296875" style="1" customWidth="1"/>
    <col min="12308" max="12308" width="1.6328125" style="1" customWidth="1"/>
    <col min="12309" max="12309" width="0.90625" style="1" customWidth="1"/>
    <col min="12310" max="12544" width="9.08984375" style="1" hidden="1"/>
    <col min="12545" max="12545" width="1.08984375" style="1" customWidth="1"/>
    <col min="12546" max="12546" width="10.6328125" style="1" customWidth="1"/>
    <col min="12547" max="12547" width="1.6328125" style="1" customWidth="1"/>
    <col min="12548" max="12548" width="30.6328125" style="1" customWidth="1"/>
    <col min="12549" max="12549" width="1.90625" style="1" customWidth="1"/>
    <col min="12550" max="12550" width="8" style="1" customWidth="1"/>
    <col min="12551" max="12551" width="1.6328125" style="1" customWidth="1"/>
    <col min="12552" max="12552" width="11" style="1" customWidth="1"/>
    <col min="12553" max="12553" width="1.6328125" style="1" customWidth="1"/>
    <col min="12554" max="12555" width="23.54296875" style="1" customWidth="1"/>
    <col min="12556" max="12556" width="1.6328125" style="1" customWidth="1"/>
    <col min="12557" max="12557" width="4.54296875" style="1" customWidth="1"/>
    <col min="12558" max="12558" width="1.6328125" style="1" customWidth="1"/>
    <col min="12559" max="12559" width="10.6328125" style="1" customWidth="1"/>
    <col min="12560" max="12560" width="1.6328125" style="1" customWidth="1"/>
    <col min="12561" max="12561" width="60.90625" style="1" customWidth="1"/>
    <col min="12562" max="12562" width="1.6328125" style="1" customWidth="1"/>
    <col min="12563" max="12563" width="4.54296875" style="1" customWidth="1"/>
    <col min="12564" max="12564" width="1.6328125" style="1" customWidth="1"/>
    <col min="12565" max="12565" width="0.90625" style="1" customWidth="1"/>
    <col min="12566" max="12800" width="9.08984375" style="1" hidden="1"/>
    <col min="12801" max="12801" width="1.08984375" style="1" customWidth="1"/>
    <col min="12802" max="12802" width="10.6328125" style="1" customWidth="1"/>
    <col min="12803" max="12803" width="1.6328125" style="1" customWidth="1"/>
    <col min="12804" max="12804" width="30.6328125" style="1" customWidth="1"/>
    <col min="12805" max="12805" width="1.90625" style="1" customWidth="1"/>
    <col min="12806" max="12806" width="8" style="1" customWidth="1"/>
    <col min="12807" max="12807" width="1.6328125" style="1" customWidth="1"/>
    <col min="12808" max="12808" width="11" style="1" customWidth="1"/>
    <col min="12809" max="12809" width="1.6328125" style="1" customWidth="1"/>
    <col min="12810" max="12811" width="23.54296875" style="1" customWidth="1"/>
    <col min="12812" max="12812" width="1.6328125" style="1" customWidth="1"/>
    <col min="12813" max="12813" width="4.54296875" style="1" customWidth="1"/>
    <col min="12814" max="12814" width="1.6328125" style="1" customWidth="1"/>
    <col min="12815" max="12815" width="10.6328125" style="1" customWidth="1"/>
    <col min="12816" max="12816" width="1.6328125" style="1" customWidth="1"/>
    <col min="12817" max="12817" width="60.90625" style="1" customWidth="1"/>
    <col min="12818" max="12818" width="1.6328125" style="1" customWidth="1"/>
    <col min="12819" max="12819" width="4.54296875" style="1" customWidth="1"/>
    <col min="12820" max="12820" width="1.6328125" style="1" customWidth="1"/>
    <col min="12821" max="12821" width="0.90625" style="1" customWidth="1"/>
    <col min="12822" max="13056" width="9.08984375" style="1" hidden="1"/>
    <col min="13057" max="13057" width="1.08984375" style="1" customWidth="1"/>
    <col min="13058" max="13058" width="10.6328125" style="1" customWidth="1"/>
    <col min="13059" max="13059" width="1.6328125" style="1" customWidth="1"/>
    <col min="13060" max="13060" width="30.6328125" style="1" customWidth="1"/>
    <col min="13061" max="13061" width="1.90625" style="1" customWidth="1"/>
    <col min="13062" max="13062" width="8" style="1" customWidth="1"/>
    <col min="13063" max="13063" width="1.6328125" style="1" customWidth="1"/>
    <col min="13064" max="13064" width="11" style="1" customWidth="1"/>
    <col min="13065" max="13065" width="1.6328125" style="1" customWidth="1"/>
    <col min="13066" max="13067" width="23.54296875" style="1" customWidth="1"/>
    <col min="13068" max="13068" width="1.6328125" style="1" customWidth="1"/>
    <col min="13069" max="13069" width="4.54296875" style="1" customWidth="1"/>
    <col min="13070" max="13070" width="1.6328125" style="1" customWidth="1"/>
    <col min="13071" max="13071" width="10.6328125" style="1" customWidth="1"/>
    <col min="13072" max="13072" width="1.6328125" style="1" customWidth="1"/>
    <col min="13073" max="13073" width="60.90625" style="1" customWidth="1"/>
    <col min="13074" max="13074" width="1.6328125" style="1" customWidth="1"/>
    <col min="13075" max="13075" width="4.54296875" style="1" customWidth="1"/>
    <col min="13076" max="13076" width="1.6328125" style="1" customWidth="1"/>
    <col min="13077" max="13077" width="0.90625" style="1" customWidth="1"/>
    <col min="13078" max="13312" width="9.08984375" style="1" hidden="1"/>
    <col min="13313" max="13313" width="1.08984375" style="1" customWidth="1"/>
    <col min="13314" max="13314" width="10.6328125" style="1" customWidth="1"/>
    <col min="13315" max="13315" width="1.6328125" style="1" customWidth="1"/>
    <col min="13316" max="13316" width="30.6328125" style="1" customWidth="1"/>
    <col min="13317" max="13317" width="1.90625" style="1" customWidth="1"/>
    <col min="13318" max="13318" width="8" style="1" customWidth="1"/>
    <col min="13319" max="13319" width="1.6328125" style="1" customWidth="1"/>
    <col min="13320" max="13320" width="11" style="1" customWidth="1"/>
    <col min="13321" max="13321" width="1.6328125" style="1" customWidth="1"/>
    <col min="13322" max="13323" width="23.54296875" style="1" customWidth="1"/>
    <col min="13324" max="13324" width="1.6328125" style="1" customWidth="1"/>
    <col min="13325" max="13325" width="4.54296875" style="1" customWidth="1"/>
    <col min="13326" max="13326" width="1.6328125" style="1" customWidth="1"/>
    <col min="13327" max="13327" width="10.6328125" style="1" customWidth="1"/>
    <col min="13328" max="13328" width="1.6328125" style="1" customWidth="1"/>
    <col min="13329" max="13329" width="60.90625" style="1" customWidth="1"/>
    <col min="13330" max="13330" width="1.6328125" style="1" customWidth="1"/>
    <col min="13331" max="13331" width="4.54296875" style="1" customWidth="1"/>
    <col min="13332" max="13332" width="1.6328125" style="1" customWidth="1"/>
    <col min="13333" max="13333" width="0.90625" style="1" customWidth="1"/>
    <col min="13334" max="13568" width="9.08984375" style="1" hidden="1"/>
    <col min="13569" max="13569" width="1.08984375" style="1" customWidth="1"/>
    <col min="13570" max="13570" width="10.6328125" style="1" customWidth="1"/>
    <col min="13571" max="13571" width="1.6328125" style="1" customWidth="1"/>
    <col min="13572" max="13572" width="30.6328125" style="1" customWidth="1"/>
    <col min="13573" max="13573" width="1.90625" style="1" customWidth="1"/>
    <col min="13574" max="13574" width="8" style="1" customWidth="1"/>
    <col min="13575" max="13575" width="1.6328125" style="1" customWidth="1"/>
    <col min="13576" max="13576" width="11" style="1" customWidth="1"/>
    <col min="13577" max="13577" width="1.6328125" style="1" customWidth="1"/>
    <col min="13578" max="13579" width="23.54296875" style="1" customWidth="1"/>
    <col min="13580" max="13580" width="1.6328125" style="1" customWidth="1"/>
    <col min="13581" max="13581" width="4.54296875" style="1" customWidth="1"/>
    <col min="13582" max="13582" width="1.6328125" style="1" customWidth="1"/>
    <col min="13583" max="13583" width="10.6328125" style="1" customWidth="1"/>
    <col min="13584" max="13584" width="1.6328125" style="1" customWidth="1"/>
    <col min="13585" max="13585" width="60.90625" style="1" customWidth="1"/>
    <col min="13586" max="13586" width="1.6328125" style="1" customWidth="1"/>
    <col min="13587" max="13587" width="4.54296875" style="1" customWidth="1"/>
    <col min="13588" max="13588" width="1.6328125" style="1" customWidth="1"/>
    <col min="13589" max="13589" width="0.90625" style="1" customWidth="1"/>
    <col min="13590" max="13824" width="9.08984375" style="1" hidden="1"/>
    <col min="13825" max="13825" width="1.08984375" style="1" customWidth="1"/>
    <col min="13826" max="13826" width="10.6328125" style="1" customWidth="1"/>
    <col min="13827" max="13827" width="1.6328125" style="1" customWidth="1"/>
    <col min="13828" max="13828" width="30.6328125" style="1" customWidth="1"/>
    <col min="13829" max="13829" width="1.90625" style="1" customWidth="1"/>
    <col min="13830" max="13830" width="8" style="1" customWidth="1"/>
    <col min="13831" max="13831" width="1.6328125" style="1" customWidth="1"/>
    <col min="13832" max="13832" width="11" style="1" customWidth="1"/>
    <col min="13833" max="13833" width="1.6328125" style="1" customWidth="1"/>
    <col min="13834" max="13835" width="23.54296875" style="1" customWidth="1"/>
    <col min="13836" max="13836" width="1.6328125" style="1" customWidth="1"/>
    <col min="13837" max="13837" width="4.54296875" style="1" customWidth="1"/>
    <col min="13838" max="13838" width="1.6328125" style="1" customWidth="1"/>
    <col min="13839" max="13839" width="10.6328125" style="1" customWidth="1"/>
    <col min="13840" max="13840" width="1.6328125" style="1" customWidth="1"/>
    <col min="13841" max="13841" width="60.90625" style="1" customWidth="1"/>
    <col min="13842" max="13842" width="1.6328125" style="1" customWidth="1"/>
    <col min="13843" max="13843" width="4.54296875" style="1" customWidth="1"/>
    <col min="13844" max="13844" width="1.6328125" style="1" customWidth="1"/>
    <col min="13845" max="13845" width="0.90625" style="1" customWidth="1"/>
    <col min="13846" max="14080" width="9.08984375" style="1" hidden="1"/>
    <col min="14081" max="14081" width="1.08984375" style="1" customWidth="1"/>
    <col min="14082" max="14082" width="10.6328125" style="1" customWidth="1"/>
    <col min="14083" max="14083" width="1.6328125" style="1" customWidth="1"/>
    <col min="14084" max="14084" width="30.6328125" style="1" customWidth="1"/>
    <col min="14085" max="14085" width="1.90625" style="1" customWidth="1"/>
    <col min="14086" max="14086" width="8" style="1" customWidth="1"/>
    <col min="14087" max="14087" width="1.6328125" style="1" customWidth="1"/>
    <col min="14088" max="14088" width="11" style="1" customWidth="1"/>
    <col min="14089" max="14089" width="1.6328125" style="1" customWidth="1"/>
    <col min="14090" max="14091" width="23.54296875" style="1" customWidth="1"/>
    <col min="14092" max="14092" width="1.6328125" style="1" customWidth="1"/>
    <col min="14093" max="14093" width="4.54296875" style="1" customWidth="1"/>
    <col min="14094" max="14094" width="1.6328125" style="1" customWidth="1"/>
    <col min="14095" max="14095" width="10.6328125" style="1" customWidth="1"/>
    <col min="14096" max="14096" width="1.6328125" style="1" customWidth="1"/>
    <col min="14097" max="14097" width="60.90625" style="1" customWidth="1"/>
    <col min="14098" max="14098" width="1.6328125" style="1" customWidth="1"/>
    <col min="14099" max="14099" width="4.54296875" style="1" customWidth="1"/>
    <col min="14100" max="14100" width="1.6328125" style="1" customWidth="1"/>
    <col min="14101" max="14101" width="0.90625" style="1" customWidth="1"/>
    <col min="14102" max="14336" width="9.08984375" style="1" hidden="1"/>
    <col min="14337" max="14337" width="1.08984375" style="1" customWidth="1"/>
    <col min="14338" max="14338" width="10.6328125" style="1" customWidth="1"/>
    <col min="14339" max="14339" width="1.6328125" style="1" customWidth="1"/>
    <col min="14340" max="14340" width="30.6328125" style="1" customWidth="1"/>
    <col min="14341" max="14341" width="1.90625" style="1" customWidth="1"/>
    <col min="14342" max="14342" width="8" style="1" customWidth="1"/>
    <col min="14343" max="14343" width="1.6328125" style="1" customWidth="1"/>
    <col min="14344" max="14344" width="11" style="1" customWidth="1"/>
    <col min="14345" max="14345" width="1.6328125" style="1" customWidth="1"/>
    <col min="14346" max="14347" width="23.54296875" style="1" customWidth="1"/>
    <col min="14348" max="14348" width="1.6328125" style="1" customWidth="1"/>
    <col min="14349" max="14349" width="4.54296875" style="1" customWidth="1"/>
    <col min="14350" max="14350" width="1.6328125" style="1" customWidth="1"/>
    <col min="14351" max="14351" width="10.6328125" style="1" customWidth="1"/>
    <col min="14352" max="14352" width="1.6328125" style="1" customWidth="1"/>
    <col min="14353" max="14353" width="60.90625" style="1" customWidth="1"/>
    <col min="14354" max="14354" width="1.6328125" style="1" customWidth="1"/>
    <col min="14355" max="14355" width="4.54296875" style="1" customWidth="1"/>
    <col min="14356" max="14356" width="1.6328125" style="1" customWidth="1"/>
    <col min="14357" max="14357" width="0.90625" style="1" customWidth="1"/>
    <col min="14358" max="14592" width="9.08984375" style="1" hidden="1"/>
    <col min="14593" max="14593" width="1.08984375" style="1" customWidth="1"/>
    <col min="14594" max="14594" width="10.6328125" style="1" customWidth="1"/>
    <col min="14595" max="14595" width="1.6328125" style="1" customWidth="1"/>
    <col min="14596" max="14596" width="30.6328125" style="1" customWidth="1"/>
    <col min="14597" max="14597" width="1.90625" style="1" customWidth="1"/>
    <col min="14598" max="14598" width="8" style="1" customWidth="1"/>
    <col min="14599" max="14599" width="1.6328125" style="1" customWidth="1"/>
    <col min="14600" max="14600" width="11" style="1" customWidth="1"/>
    <col min="14601" max="14601" width="1.6328125" style="1" customWidth="1"/>
    <col min="14602" max="14603" width="23.54296875" style="1" customWidth="1"/>
    <col min="14604" max="14604" width="1.6328125" style="1" customWidth="1"/>
    <col min="14605" max="14605" width="4.54296875" style="1" customWidth="1"/>
    <col min="14606" max="14606" width="1.6328125" style="1" customWidth="1"/>
    <col min="14607" max="14607" width="10.6328125" style="1" customWidth="1"/>
    <col min="14608" max="14608" width="1.6328125" style="1" customWidth="1"/>
    <col min="14609" max="14609" width="60.90625" style="1" customWidth="1"/>
    <col min="14610" max="14610" width="1.6328125" style="1" customWidth="1"/>
    <col min="14611" max="14611" width="4.54296875" style="1" customWidth="1"/>
    <col min="14612" max="14612" width="1.6328125" style="1" customWidth="1"/>
    <col min="14613" max="14613" width="0.90625" style="1" customWidth="1"/>
    <col min="14614" max="14848" width="9.08984375" style="1" hidden="1"/>
    <col min="14849" max="14849" width="1.08984375" style="1" customWidth="1"/>
    <col min="14850" max="14850" width="10.6328125" style="1" customWidth="1"/>
    <col min="14851" max="14851" width="1.6328125" style="1" customWidth="1"/>
    <col min="14852" max="14852" width="30.6328125" style="1" customWidth="1"/>
    <col min="14853" max="14853" width="1.90625" style="1" customWidth="1"/>
    <col min="14854" max="14854" width="8" style="1" customWidth="1"/>
    <col min="14855" max="14855" width="1.6328125" style="1" customWidth="1"/>
    <col min="14856" max="14856" width="11" style="1" customWidth="1"/>
    <col min="14857" max="14857" width="1.6328125" style="1" customWidth="1"/>
    <col min="14858" max="14859" width="23.54296875" style="1" customWidth="1"/>
    <col min="14860" max="14860" width="1.6328125" style="1" customWidth="1"/>
    <col min="14861" max="14861" width="4.54296875" style="1" customWidth="1"/>
    <col min="14862" max="14862" width="1.6328125" style="1" customWidth="1"/>
    <col min="14863" max="14863" width="10.6328125" style="1" customWidth="1"/>
    <col min="14864" max="14864" width="1.6328125" style="1" customWidth="1"/>
    <col min="14865" max="14865" width="60.90625" style="1" customWidth="1"/>
    <col min="14866" max="14866" width="1.6328125" style="1" customWidth="1"/>
    <col min="14867" max="14867" width="4.54296875" style="1" customWidth="1"/>
    <col min="14868" max="14868" width="1.6328125" style="1" customWidth="1"/>
    <col min="14869" max="14869" width="0.90625" style="1" customWidth="1"/>
    <col min="14870" max="15104" width="9.08984375" style="1" hidden="1"/>
    <col min="15105" max="15105" width="1.08984375" style="1" customWidth="1"/>
    <col min="15106" max="15106" width="10.6328125" style="1" customWidth="1"/>
    <col min="15107" max="15107" width="1.6328125" style="1" customWidth="1"/>
    <col min="15108" max="15108" width="30.6328125" style="1" customWidth="1"/>
    <col min="15109" max="15109" width="1.90625" style="1" customWidth="1"/>
    <col min="15110" max="15110" width="8" style="1" customWidth="1"/>
    <col min="15111" max="15111" width="1.6328125" style="1" customWidth="1"/>
    <col min="15112" max="15112" width="11" style="1" customWidth="1"/>
    <col min="15113" max="15113" width="1.6328125" style="1" customWidth="1"/>
    <col min="15114" max="15115" width="23.54296875" style="1" customWidth="1"/>
    <col min="15116" max="15116" width="1.6328125" style="1" customWidth="1"/>
    <col min="15117" max="15117" width="4.54296875" style="1" customWidth="1"/>
    <col min="15118" max="15118" width="1.6328125" style="1" customWidth="1"/>
    <col min="15119" max="15119" width="10.6328125" style="1" customWidth="1"/>
    <col min="15120" max="15120" width="1.6328125" style="1" customWidth="1"/>
    <col min="15121" max="15121" width="60.90625" style="1" customWidth="1"/>
    <col min="15122" max="15122" width="1.6328125" style="1" customWidth="1"/>
    <col min="15123" max="15123" width="4.54296875" style="1" customWidth="1"/>
    <col min="15124" max="15124" width="1.6328125" style="1" customWidth="1"/>
    <col min="15125" max="15125" width="0.90625" style="1" customWidth="1"/>
    <col min="15126" max="15360" width="9.08984375" style="1" hidden="1"/>
    <col min="15361" max="15361" width="1.08984375" style="1" customWidth="1"/>
    <col min="15362" max="15362" width="10.6328125" style="1" customWidth="1"/>
    <col min="15363" max="15363" width="1.6328125" style="1" customWidth="1"/>
    <col min="15364" max="15364" width="30.6328125" style="1" customWidth="1"/>
    <col min="15365" max="15365" width="1.90625" style="1" customWidth="1"/>
    <col min="15366" max="15366" width="8" style="1" customWidth="1"/>
    <col min="15367" max="15367" width="1.6328125" style="1" customWidth="1"/>
    <col min="15368" max="15368" width="11" style="1" customWidth="1"/>
    <col min="15369" max="15369" width="1.6328125" style="1" customWidth="1"/>
    <col min="15370" max="15371" width="23.54296875" style="1" customWidth="1"/>
    <col min="15372" max="15372" width="1.6328125" style="1" customWidth="1"/>
    <col min="15373" max="15373" width="4.54296875" style="1" customWidth="1"/>
    <col min="15374" max="15374" width="1.6328125" style="1" customWidth="1"/>
    <col min="15375" max="15375" width="10.6328125" style="1" customWidth="1"/>
    <col min="15376" max="15376" width="1.6328125" style="1" customWidth="1"/>
    <col min="15377" max="15377" width="60.90625" style="1" customWidth="1"/>
    <col min="15378" max="15378" width="1.6328125" style="1" customWidth="1"/>
    <col min="15379" max="15379" width="4.54296875" style="1" customWidth="1"/>
    <col min="15380" max="15380" width="1.6328125" style="1" customWidth="1"/>
    <col min="15381" max="15381" width="0.90625" style="1" customWidth="1"/>
    <col min="15382" max="15616" width="9.08984375" style="1" hidden="1"/>
    <col min="15617" max="15617" width="1.08984375" style="1" customWidth="1"/>
    <col min="15618" max="15618" width="10.6328125" style="1" customWidth="1"/>
    <col min="15619" max="15619" width="1.6328125" style="1" customWidth="1"/>
    <col min="15620" max="15620" width="30.6328125" style="1" customWidth="1"/>
    <col min="15621" max="15621" width="1.90625" style="1" customWidth="1"/>
    <col min="15622" max="15622" width="8" style="1" customWidth="1"/>
    <col min="15623" max="15623" width="1.6328125" style="1" customWidth="1"/>
    <col min="15624" max="15624" width="11" style="1" customWidth="1"/>
    <col min="15625" max="15625" width="1.6328125" style="1" customWidth="1"/>
    <col min="15626" max="15627" width="23.54296875" style="1" customWidth="1"/>
    <col min="15628" max="15628" width="1.6328125" style="1" customWidth="1"/>
    <col min="15629" max="15629" width="4.54296875" style="1" customWidth="1"/>
    <col min="15630" max="15630" width="1.6328125" style="1" customWidth="1"/>
    <col min="15631" max="15631" width="10.6328125" style="1" customWidth="1"/>
    <col min="15632" max="15632" width="1.6328125" style="1" customWidth="1"/>
    <col min="15633" max="15633" width="60.90625" style="1" customWidth="1"/>
    <col min="15634" max="15634" width="1.6328125" style="1" customWidth="1"/>
    <col min="15635" max="15635" width="4.54296875" style="1" customWidth="1"/>
    <col min="15636" max="15636" width="1.6328125" style="1" customWidth="1"/>
    <col min="15637" max="15637" width="0.90625" style="1" customWidth="1"/>
    <col min="15638" max="15872" width="9.08984375" style="1" hidden="1"/>
    <col min="15873" max="15873" width="1.08984375" style="1" customWidth="1"/>
    <col min="15874" max="15874" width="10.6328125" style="1" customWidth="1"/>
    <col min="15875" max="15875" width="1.6328125" style="1" customWidth="1"/>
    <col min="15876" max="15876" width="30.6328125" style="1" customWidth="1"/>
    <col min="15877" max="15877" width="1.90625" style="1" customWidth="1"/>
    <col min="15878" max="15878" width="8" style="1" customWidth="1"/>
    <col min="15879" max="15879" width="1.6328125" style="1" customWidth="1"/>
    <col min="15880" max="15880" width="11" style="1" customWidth="1"/>
    <col min="15881" max="15881" width="1.6328125" style="1" customWidth="1"/>
    <col min="15882" max="15883" width="23.54296875" style="1" customWidth="1"/>
    <col min="15884" max="15884" width="1.6328125" style="1" customWidth="1"/>
    <col min="15885" max="15885" width="4.54296875" style="1" customWidth="1"/>
    <col min="15886" max="15886" width="1.6328125" style="1" customWidth="1"/>
    <col min="15887" max="15887" width="10.6328125" style="1" customWidth="1"/>
    <col min="15888" max="15888" width="1.6328125" style="1" customWidth="1"/>
    <col min="15889" max="15889" width="60.90625" style="1" customWidth="1"/>
    <col min="15890" max="15890" width="1.6328125" style="1" customWidth="1"/>
    <col min="15891" max="15891" width="4.54296875" style="1" customWidth="1"/>
    <col min="15892" max="15892" width="1.6328125" style="1" customWidth="1"/>
    <col min="15893" max="15893" width="0.90625" style="1" customWidth="1"/>
    <col min="15894" max="16128" width="9.08984375" style="1" hidden="1"/>
    <col min="16129" max="16129" width="1.08984375" style="1" customWidth="1"/>
    <col min="16130" max="16130" width="10.6328125" style="1" customWidth="1"/>
    <col min="16131" max="16131" width="1.6328125" style="1" customWidth="1"/>
    <col min="16132" max="16132" width="30.6328125" style="1" customWidth="1"/>
    <col min="16133" max="16133" width="1.90625" style="1" customWidth="1"/>
    <col min="16134" max="16134" width="8" style="1" customWidth="1"/>
    <col min="16135" max="16135" width="1.6328125" style="1" customWidth="1"/>
    <col min="16136" max="16136" width="11" style="1" customWidth="1"/>
    <col min="16137" max="16137" width="1.6328125" style="1" customWidth="1"/>
    <col min="16138" max="16139" width="23.54296875" style="1" customWidth="1"/>
    <col min="16140" max="16140" width="1.6328125" style="1" customWidth="1"/>
    <col min="16141" max="16141" width="4.54296875" style="1" customWidth="1"/>
    <col min="16142" max="16142" width="1.6328125" style="1" customWidth="1"/>
    <col min="16143" max="16143" width="10.6328125" style="1" customWidth="1"/>
    <col min="16144" max="16144" width="1.6328125" style="1" customWidth="1"/>
    <col min="16145" max="16145" width="60.90625" style="1" customWidth="1"/>
    <col min="16146" max="16146" width="1.6328125" style="1" customWidth="1"/>
    <col min="16147" max="16147" width="4.54296875" style="1" customWidth="1"/>
    <col min="16148" max="16148" width="1.6328125" style="1" customWidth="1"/>
    <col min="16149" max="16149" width="0.90625" style="1" customWidth="1"/>
    <col min="16150" max="16384" width="9.08984375" style="1" hidden="1"/>
  </cols>
  <sheetData>
    <row r="1" spans="1:20" ht="6.75" customHeight="1" x14ac:dyDescent="0.25"/>
    <row r="2" spans="1:20" ht="52.5" customHeight="1" x14ac:dyDescent="0.25">
      <c r="A2" s="3"/>
      <c r="B2" s="112" t="s">
        <v>211</v>
      </c>
      <c r="C2" s="112"/>
      <c r="D2" s="113"/>
      <c r="E2" s="1"/>
      <c r="F2" s="114" t="s">
        <v>212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6"/>
    </row>
    <row r="3" spans="1:20" ht="6" customHeight="1" x14ac:dyDescent="0.25"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"/>
      <c r="S3" s="1"/>
      <c r="T3" s="1"/>
    </row>
    <row r="4" spans="1:20" s="4" customFormat="1" ht="47.25" customHeight="1" x14ac:dyDescent="0.35">
      <c r="B4" s="5" t="s">
        <v>213</v>
      </c>
      <c r="D4" s="6" t="s">
        <v>214</v>
      </c>
      <c r="F4" s="7" t="str">
        <f>IF(F18=6,B16,IF(F18=5,B14,IF(F18=4,B12,IF(F18=3,B10,IF(F18=2,B8,IF(F18=1,B6,""))))))</f>
        <v/>
      </c>
      <c r="H4" s="8" t="s">
        <v>215</v>
      </c>
      <c r="J4" s="118" t="s">
        <v>216</v>
      </c>
      <c r="K4" s="119"/>
      <c r="M4" s="7">
        <f>IF(M18=6,H16,IF(M18=5,H14,IF(M18=4,H12,IF(M18=3,H10,IF(M18=2,H8,IF(M18=1,H6,""))))))</f>
        <v>10</v>
      </c>
      <c r="O4" s="9" t="s">
        <v>217</v>
      </c>
      <c r="Q4" s="9" t="s">
        <v>218</v>
      </c>
      <c r="S4" s="7">
        <f>IF(S18=6,O16,IF(S18=5,O14,IF(S18=4,O12,IF(S18=3,O10,IF(S18=2,O8,IF(S18=1,O6,""))))))</f>
        <v>1</v>
      </c>
      <c r="T4" s="7"/>
    </row>
    <row r="5" spans="1:20" ht="5.15" customHeight="1" x14ac:dyDescent="0.25">
      <c r="F5" s="10"/>
      <c r="M5" s="10"/>
      <c r="S5" s="10"/>
      <c r="T5" s="11"/>
    </row>
    <row r="6" spans="1:20" ht="39" customHeight="1" x14ac:dyDescent="0.25">
      <c r="B6" s="12">
        <v>10</v>
      </c>
      <c r="C6" s="4"/>
      <c r="D6" s="13" t="s">
        <v>219</v>
      </c>
      <c r="E6" s="4"/>
      <c r="F6" s="14"/>
      <c r="G6" s="4"/>
      <c r="H6" s="15">
        <v>10</v>
      </c>
      <c r="I6" s="4"/>
      <c r="J6" s="16" t="s">
        <v>220</v>
      </c>
      <c r="K6" s="16" t="s">
        <v>221</v>
      </c>
      <c r="L6" s="4"/>
      <c r="M6" s="17"/>
      <c r="N6" s="4"/>
      <c r="O6" s="18">
        <v>40</v>
      </c>
      <c r="P6" s="4"/>
      <c r="Q6" s="19" t="s">
        <v>222</v>
      </c>
      <c r="R6" s="4"/>
      <c r="S6" s="20"/>
      <c r="T6" s="7"/>
    </row>
    <row r="7" spans="1:20" ht="5.15" customHeight="1" x14ac:dyDescent="0.25">
      <c r="B7" s="21"/>
      <c r="C7" s="4"/>
      <c r="D7" s="22"/>
      <c r="E7" s="4"/>
      <c r="F7" s="23"/>
      <c r="G7" s="4"/>
      <c r="H7" s="21"/>
      <c r="I7" s="4"/>
      <c r="J7" s="1"/>
      <c r="K7" s="24"/>
      <c r="L7" s="4"/>
      <c r="M7" s="23"/>
      <c r="N7" s="4"/>
      <c r="O7" s="21"/>
      <c r="P7" s="4"/>
      <c r="Q7" s="4"/>
      <c r="R7" s="4"/>
      <c r="S7" s="23"/>
      <c r="T7" s="7"/>
    </row>
    <row r="8" spans="1:20" ht="57" customHeight="1" x14ac:dyDescent="0.25">
      <c r="B8" s="12">
        <v>6</v>
      </c>
      <c r="C8" s="4"/>
      <c r="D8" s="13" t="s">
        <v>223</v>
      </c>
      <c r="E8" s="4"/>
      <c r="F8" s="14"/>
      <c r="G8" s="4"/>
      <c r="H8" s="15">
        <v>6</v>
      </c>
      <c r="I8" s="4"/>
      <c r="J8" s="16" t="s">
        <v>224</v>
      </c>
      <c r="K8" s="16" t="s">
        <v>225</v>
      </c>
      <c r="L8" s="4"/>
      <c r="M8" s="17"/>
      <c r="N8" s="4"/>
      <c r="O8" s="18">
        <v>15</v>
      </c>
      <c r="P8" s="4"/>
      <c r="Q8" s="19" t="s">
        <v>226</v>
      </c>
      <c r="R8" s="4"/>
      <c r="S8" s="20"/>
      <c r="T8" s="7"/>
    </row>
    <row r="9" spans="1:20" ht="5.15" customHeight="1" x14ac:dyDescent="0.25">
      <c r="B9" s="21"/>
      <c r="C9" s="4"/>
      <c r="D9" s="22"/>
      <c r="E9" s="4"/>
      <c r="F9" s="23"/>
      <c r="G9" s="4"/>
      <c r="H9" s="21"/>
      <c r="I9" s="4"/>
      <c r="J9" s="1"/>
      <c r="K9" s="24"/>
      <c r="L9" s="4"/>
      <c r="M9" s="23"/>
      <c r="N9" s="4"/>
      <c r="O9" s="21"/>
      <c r="P9" s="4"/>
      <c r="Q9" s="4"/>
      <c r="R9" s="4"/>
      <c r="S9" s="23"/>
      <c r="T9" s="7"/>
    </row>
    <row r="10" spans="1:20" ht="39" customHeight="1" x14ac:dyDescent="0.25">
      <c r="B10" s="12">
        <v>3</v>
      </c>
      <c r="C10" s="4"/>
      <c r="D10" s="13" t="s">
        <v>227</v>
      </c>
      <c r="E10" s="4"/>
      <c r="F10" s="14"/>
      <c r="G10" s="4"/>
      <c r="H10" s="15">
        <v>3</v>
      </c>
      <c r="I10" s="4"/>
      <c r="J10" s="16" t="s">
        <v>228</v>
      </c>
      <c r="K10" s="16" t="s">
        <v>229</v>
      </c>
      <c r="L10" s="4"/>
      <c r="M10" s="17"/>
      <c r="N10" s="4"/>
      <c r="O10" s="18">
        <v>7</v>
      </c>
      <c r="P10" s="4"/>
      <c r="Q10" s="19" t="s">
        <v>230</v>
      </c>
      <c r="R10" s="4"/>
      <c r="S10" s="20"/>
      <c r="T10" s="7"/>
    </row>
    <row r="11" spans="1:20" ht="5.15" customHeight="1" x14ac:dyDescent="0.25">
      <c r="B11" s="21"/>
      <c r="C11" s="4"/>
      <c r="D11" s="22"/>
      <c r="E11" s="4"/>
      <c r="F11" s="23"/>
      <c r="G11" s="4"/>
      <c r="H11" s="21"/>
      <c r="I11" s="4"/>
      <c r="J11" s="1"/>
      <c r="K11" s="24"/>
      <c r="L11" s="4"/>
      <c r="M11" s="23"/>
      <c r="N11" s="4"/>
      <c r="O11" s="21"/>
      <c r="P11" s="4"/>
      <c r="Q11" s="4"/>
      <c r="R11" s="4"/>
      <c r="S11" s="23"/>
      <c r="T11" s="7"/>
    </row>
    <row r="12" spans="1:20" ht="39" customHeight="1" x14ac:dyDescent="0.25">
      <c r="B12" s="12">
        <v>1</v>
      </c>
      <c r="C12" s="4"/>
      <c r="D12" s="13" t="s">
        <v>231</v>
      </c>
      <c r="E12" s="4"/>
      <c r="F12" s="14"/>
      <c r="G12" s="4"/>
      <c r="H12" s="15">
        <v>2</v>
      </c>
      <c r="I12" s="4"/>
      <c r="J12" s="16" t="s">
        <v>232</v>
      </c>
      <c r="K12" s="16" t="s">
        <v>233</v>
      </c>
      <c r="L12" s="4"/>
      <c r="M12" s="17"/>
      <c r="N12" s="4"/>
      <c r="O12" s="18">
        <v>3</v>
      </c>
      <c r="P12" s="4"/>
      <c r="Q12" s="19" t="s">
        <v>234</v>
      </c>
      <c r="R12" s="4"/>
      <c r="S12" s="20"/>
      <c r="T12" s="7"/>
    </row>
    <row r="13" spans="1:20" ht="5.15" customHeight="1" x14ac:dyDescent="0.25">
      <c r="B13" s="21"/>
      <c r="C13" s="4"/>
      <c r="D13" s="22"/>
      <c r="E13" s="4"/>
      <c r="F13" s="23"/>
      <c r="G13" s="4"/>
      <c r="H13" s="21"/>
      <c r="I13" s="4"/>
      <c r="J13" s="1"/>
      <c r="K13" s="24"/>
      <c r="L13" s="4"/>
      <c r="M13" s="23"/>
      <c r="N13" s="4"/>
      <c r="O13" s="21"/>
      <c r="P13" s="4"/>
      <c r="Q13" s="4"/>
      <c r="R13" s="4"/>
      <c r="S13" s="23"/>
      <c r="T13" s="7"/>
    </row>
    <row r="14" spans="1:20" ht="39" customHeight="1" x14ac:dyDescent="0.25">
      <c r="B14" s="12">
        <v>0.5</v>
      </c>
      <c r="C14" s="4"/>
      <c r="D14" s="13" t="s">
        <v>235</v>
      </c>
      <c r="E14" s="4"/>
      <c r="F14" s="14"/>
      <c r="G14" s="4"/>
      <c r="H14" s="15">
        <v>1</v>
      </c>
      <c r="I14" s="4"/>
      <c r="J14" s="16" t="s">
        <v>236</v>
      </c>
      <c r="K14" s="16" t="s">
        <v>237</v>
      </c>
      <c r="L14" s="4"/>
      <c r="M14" s="17"/>
      <c r="N14" s="4"/>
      <c r="O14" s="18">
        <v>1</v>
      </c>
      <c r="P14" s="4"/>
      <c r="Q14" s="25" t="s">
        <v>238</v>
      </c>
      <c r="R14" s="4"/>
      <c r="S14" s="20"/>
      <c r="T14" s="7"/>
    </row>
    <row r="15" spans="1:20" ht="5.15" customHeight="1" x14ac:dyDescent="0.25">
      <c r="B15" s="21"/>
      <c r="C15" s="4"/>
      <c r="D15" s="22"/>
      <c r="E15" s="4"/>
      <c r="F15" s="23"/>
      <c r="G15" s="4"/>
      <c r="H15" s="21"/>
      <c r="I15" s="4"/>
      <c r="J15" s="1"/>
      <c r="K15" s="24"/>
      <c r="L15" s="4"/>
      <c r="M15" s="23"/>
      <c r="N15" s="4"/>
      <c r="O15" s="21"/>
      <c r="P15" s="4"/>
      <c r="Q15" s="4"/>
      <c r="R15" s="4"/>
      <c r="S15" s="23"/>
      <c r="T15" s="7"/>
    </row>
    <row r="16" spans="1:20" ht="39" customHeight="1" x14ac:dyDescent="0.25">
      <c r="B16" s="12">
        <v>0.2</v>
      </c>
      <c r="C16" s="4"/>
      <c r="D16" s="13" t="s">
        <v>239</v>
      </c>
      <c r="E16" s="4"/>
      <c r="F16" s="14"/>
      <c r="G16" s="4"/>
      <c r="H16" s="15">
        <v>0.5</v>
      </c>
      <c r="I16" s="4"/>
      <c r="J16" s="16" t="s">
        <v>240</v>
      </c>
      <c r="K16" s="16" t="s">
        <v>241</v>
      </c>
      <c r="L16" s="4"/>
      <c r="M16" s="17"/>
      <c r="N16" s="4"/>
      <c r="O16" s="30"/>
      <c r="P16" s="4"/>
      <c r="Q16" s="31"/>
      <c r="R16" s="4"/>
      <c r="S16" s="20"/>
      <c r="T16" s="7"/>
    </row>
    <row r="17" spans="2:20" ht="2.25" customHeight="1" x14ac:dyDescent="0.25">
      <c r="F17" s="11"/>
      <c r="S17" s="11"/>
      <c r="T17" s="11"/>
    </row>
    <row r="18" spans="2:20" ht="12.5" hidden="1" x14ac:dyDescent="0.25">
      <c r="F18" s="11">
        <v>0</v>
      </c>
      <c r="M18" s="2">
        <v>1</v>
      </c>
      <c r="S18" s="11">
        <v>5</v>
      </c>
      <c r="T18" s="11"/>
    </row>
    <row r="19" spans="2:20" ht="12.5" hidden="1" x14ac:dyDescent="0.25">
      <c r="F19" s="11"/>
      <c r="S19" s="11"/>
      <c r="T19" s="11"/>
    </row>
    <row r="20" spans="2:20" ht="12.5" hidden="1" x14ac:dyDescent="0.25">
      <c r="F20" s="11"/>
      <c r="S20" s="11"/>
      <c r="T20" s="11"/>
    </row>
    <row r="21" spans="2:20" ht="5.25" customHeight="1" x14ac:dyDescent="0.25">
      <c r="F21" s="11"/>
      <c r="S21" s="11"/>
      <c r="T21" s="11"/>
    </row>
    <row r="22" spans="2:20" ht="39" customHeight="1" x14ac:dyDescent="0.25">
      <c r="B22" s="12">
        <v>0.1</v>
      </c>
      <c r="D22" s="13" t="s">
        <v>242</v>
      </c>
      <c r="F22" s="11"/>
      <c r="S22" s="11"/>
      <c r="T22" s="11"/>
    </row>
    <row r="23" spans="2:20" ht="5.25" customHeight="1" x14ac:dyDescent="0.25">
      <c r="F23" s="11"/>
      <c r="S23" s="11"/>
      <c r="T23" s="11"/>
    </row>
    <row r="24" spans="2:20" ht="39" customHeight="1" x14ac:dyDescent="0.25">
      <c r="B24" s="120" t="s">
        <v>243</v>
      </c>
      <c r="C24" s="121"/>
      <c r="D24" s="122"/>
      <c r="F24" s="26" t="e">
        <f>(F4*M4)*S4</f>
        <v>#VALUE!</v>
      </c>
      <c r="H24" s="123" t="s">
        <v>244</v>
      </c>
      <c r="I24" s="121"/>
      <c r="J24" s="121"/>
      <c r="K24" s="121"/>
      <c r="L24" s="121"/>
      <c r="M24" s="121"/>
      <c r="N24" s="121"/>
      <c r="O24" s="121"/>
      <c r="P24" s="121"/>
      <c r="Q24" s="122"/>
      <c r="R24" s="1"/>
      <c r="S24" s="1"/>
      <c r="T24" s="1"/>
    </row>
    <row r="25" spans="2:20" ht="5.15" customHeight="1" x14ac:dyDescent="0.35">
      <c r="B25" s="27"/>
      <c r="C25" s="27"/>
      <c r="D25" s="27"/>
    </row>
    <row r="26" spans="2:20" ht="34.5" customHeight="1" x14ac:dyDescent="0.85">
      <c r="B26" s="130" t="s">
        <v>245</v>
      </c>
      <c r="C26" s="131"/>
      <c r="D26" s="132"/>
      <c r="F26" s="28" t="e">
        <f>IF($F$24&gt;=400,"&gt;","")</f>
        <v>#VALUE!</v>
      </c>
      <c r="H26" s="133" t="s">
        <v>246</v>
      </c>
      <c r="I26" s="134"/>
      <c r="J26" s="134"/>
      <c r="K26" s="134"/>
      <c r="L26" s="134"/>
      <c r="M26" s="134"/>
      <c r="N26" s="134"/>
      <c r="O26" s="134"/>
      <c r="P26" s="134"/>
      <c r="Q26" s="135"/>
      <c r="R26" s="1"/>
      <c r="S26" s="28" t="e">
        <f>IF($F$24&gt;=400,"&lt;","")</f>
        <v>#VALUE!</v>
      </c>
      <c r="T26" s="1"/>
    </row>
    <row r="27" spans="2:20" ht="5.25" customHeight="1" x14ac:dyDescent="0.85">
      <c r="B27" s="30"/>
      <c r="C27" s="30"/>
      <c r="D27" s="30"/>
      <c r="F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1"/>
      <c r="S27" s="28"/>
      <c r="T27" s="1"/>
    </row>
    <row r="28" spans="2:20" ht="34.5" customHeight="1" x14ac:dyDescent="0.25">
      <c r="B28" s="142" t="s">
        <v>247</v>
      </c>
      <c r="C28" s="143"/>
      <c r="D28" s="144"/>
      <c r="H28" s="133" t="s">
        <v>248</v>
      </c>
      <c r="I28" s="134"/>
      <c r="J28" s="134"/>
      <c r="K28" s="134"/>
      <c r="L28" s="134"/>
      <c r="M28" s="134"/>
      <c r="N28" s="134"/>
      <c r="O28" s="134"/>
      <c r="P28" s="134"/>
      <c r="Q28" s="135"/>
    </row>
    <row r="29" spans="2:20" ht="5.15" customHeight="1" x14ac:dyDescent="0.35">
      <c r="B29" s="27"/>
      <c r="C29" s="27"/>
      <c r="D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2:20" ht="33.75" customHeight="1" x14ac:dyDescent="0.85">
      <c r="B30" s="136" t="s">
        <v>249</v>
      </c>
      <c r="C30" s="137"/>
      <c r="D30" s="138"/>
      <c r="F30" s="28" t="e">
        <f>IF(AND($F24&lt;400,$F$24&gt;=200),"&gt;","")</f>
        <v>#VALUE!</v>
      </c>
      <c r="H30" s="127" t="s">
        <v>250</v>
      </c>
      <c r="I30" s="128"/>
      <c r="J30" s="128"/>
      <c r="K30" s="128"/>
      <c r="L30" s="128"/>
      <c r="M30" s="128"/>
      <c r="N30" s="128"/>
      <c r="O30" s="128"/>
      <c r="P30" s="128"/>
      <c r="Q30" s="129"/>
      <c r="R30" s="1"/>
      <c r="S30" s="28" t="e">
        <f>IF(AND($F24&lt;400,$F$24&gt;=200),"&lt;","")</f>
        <v>#VALUE!</v>
      </c>
      <c r="T30" s="1"/>
    </row>
    <row r="31" spans="2:20" ht="5.15" customHeight="1" x14ac:dyDescent="0.35">
      <c r="B31" s="27"/>
      <c r="C31" s="27"/>
      <c r="D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2:20" ht="31.5" customHeight="1" x14ac:dyDescent="0.85">
      <c r="B32" s="139" t="s">
        <v>251</v>
      </c>
      <c r="C32" s="140"/>
      <c r="D32" s="141"/>
      <c r="F32" s="28" t="e">
        <f>IF(AND($F$24&lt;200,$F$24&gt;=70),"&gt;","")</f>
        <v>#VALUE!</v>
      </c>
      <c r="H32" s="127" t="s">
        <v>252</v>
      </c>
      <c r="I32" s="128"/>
      <c r="J32" s="128"/>
      <c r="K32" s="128"/>
      <c r="L32" s="128"/>
      <c r="M32" s="128"/>
      <c r="N32" s="128"/>
      <c r="O32" s="128"/>
      <c r="P32" s="128"/>
      <c r="Q32" s="129"/>
      <c r="R32" s="1"/>
      <c r="S32" s="28" t="e">
        <f>IF(AND($F$24&lt;200,$F$24&gt;=70),"&lt;","")</f>
        <v>#VALUE!</v>
      </c>
      <c r="T32" s="1"/>
    </row>
    <row r="33" spans="2:20" ht="5.15" customHeight="1" x14ac:dyDescent="0.35">
      <c r="B33" s="27"/>
      <c r="C33" s="27"/>
      <c r="D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20" ht="5.15" customHeight="1" x14ac:dyDescent="0.35">
      <c r="B34" s="27"/>
      <c r="C34" s="27"/>
      <c r="D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2:20" ht="36.75" customHeight="1" x14ac:dyDescent="0.85">
      <c r="B35" s="124" t="s">
        <v>253</v>
      </c>
      <c r="C35" s="125"/>
      <c r="D35" s="126"/>
      <c r="F35" s="28" t="e">
        <f>IF($F$24&lt;20,"&gt;","")</f>
        <v>#VALUE!</v>
      </c>
      <c r="H35" s="127" t="s">
        <v>254</v>
      </c>
      <c r="I35" s="128"/>
      <c r="J35" s="128"/>
      <c r="K35" s="128"/>
      <c r="L35" s="128"/>
      <c r="M35" s="128"/>
      <c r="N35" s="128"/>
      <c r="O35" s="128"/>
      <c r="P35" s="128"/>
      <c r="Q35" s="129"/>
      <c r="R35" s="1"/>
      <c r="S35" s="28" t="e">
        <f>IF($F$24&lt;20,"&lt;","")</f>
        <v>#VALUE!</v>
      </c>
      <c r="T35" s="1"/>
    </row>
    <row r="36" spans="2:20" ht="5.15" customHeight="1" x14ac:dyDescent="0.25"/>
    <row r="37" spans="2:20" ht="12.5" hidden="1" x14ac:dyDescent="0.25"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"/>
      <c r="S37" s="1"/>
      <c r="T37" s="1"/>
    </row>
    <row r="38" spans="2:20" ht="12.5" hidden="1" x14ac:dyDescent="0.25"/>
    <row r="39" spans="2:20" ht="12.5" hidden="1" x14ac:dyDescent="0.25"/>
    <row r="40" spans="2:20" ht="12.5" hidden="1" x14ac:dyDescent="0.25"/>
    <row r="41" spans="2:20" ht="12.5" hidden="1" x14ac:dyDescent="0.25"/>
    <row r="42" spans="2:20" ht="12.5" hidden="1" x14ac:dyDescent="0.25"/>
    <row r="43" spans="2:20" ht="12.5" hidden="1" x14ac:dyDescent="0.25"/>
    <row r="44" spans="2:20" ht="12.5" hidden="1" x14ac:dyDescent="0.25"/>
    <row r="45" spans="2:20" ht="12.5" hidden="1" x14ac:dyDescent="0.25"/>
    <row r="46" spans="2:20" ht="12.5" hidden="1" x14ac:dyDescent="0.25"/>
    <row r="47" spans="2:20" ht="12.5" hidden="1" x14ac:dyDescent="0.25"/>
    <row r="48" spans="2:20" ht="12.5" hidden="1" x14ac:dyDescent="0.25"/>
    <row r="53" ht="12.65" customHeight="1" x14ac:dyDescent="0.25"/>
  </sheetData>
  <sheetProtection selectLockedCells="1" selectUnlockedCells="1"/>
  <mergeCells count="17">
    <mergeCell ref="B35:D35"/>
    <mergeCell ref="H35:Q35"/>
    <mergeCell ref="B37:Q37"/>
    <mergeCell ref="B26:D26"/>
    <mergeCell ref="H26:Q26"/>
    <mergeCell ref="B30:D30"/>
    <mergeCell ref="H30:Q30"/>
    <mergeCell ref="B32:D32"/>
    <mergeCell ref="H32:Q32"/>
    <mergeCell ref="B28:D28"/>
    <mergeCell ref="H28:Q28"/>
    <mergeCell ref="B2:D2"/>
    <mergeCell ref="F2:T2"/>
    <mergeCell ref="B3:Q3"/>
    <mergeCell ref="J4:K4"/>
    <mergeCell ref="B24:D24"/>
    <mergeCell ref="H24:Q24"/>
  </mergeCells>
  <printOptions horizontalCentered="1" verticalCentered="1"/>
  <pageMargins left="0.9055118110236221" right="0.74803149606299213" top="0.74803149606299213" bottom="0.6692913385826772" header="0.51181102362204722" footer="0.51181102362204722"/>
  <pageSetup paperSize="9" scale="69" orientation="landscape" r:id="rId1"/>
  <headerFooter alignWithMargins="0">
    <oddFooter>&amp;LForm/Rev.No:EYS-FR-21/00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7" r:id="rId4" name="Option Button 7">
              <controlPr defaultSize="0" autoFill="0" autoLine="0" autoPict="0">
                <anchor moveWithCells="1" sizeWithCells="1">
                  <from>
                    <xdr:col>10</xdr:col>
                    <xdr:colOff>717550</xdr:colOff>
                    <xdr:row>15</xdr:row>
                    <xdr:rowOff>279400</xdr:rowOff>
                  </from>
                  <to>
                    <xdr:col>10</xdr:col>
                    <xdr:colOff>717550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5" name="Option Button 8">
              <controlPr defaultSize="0" autoFill="0" autoLine="0" autoPict="0">
                <anchor moveWithCells="1" sizeWithCells="1">
                  <from>
                    <xdr:col>10</xdr:col>
                    <xdr:colOff>717550</xdr:colOff>
                    <xdr:row>15</xdr:row>
                    <xdr:rowOff>298450</xdr:rowOff>
                  </from>
                  <to>
                    <xdr:col>10</xdr:col>
                    <xdr:colOff>717550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6" name="Option Button 9">
              <controlPr defaultSize="0" autoFill="0" autoLine="0" autoPict="0">
                <anchor moveWithCells="1" sizeWithCells="1">
                  <from>
                    <xdr:col>10</xdr:col>
                    <xdr:colOff>717550</xdr:colOff>
                    <xdr:row>15</xdr:row>
                    <xdr:rowOff>323850</xdr:rowOff>
                  </from>
                  <to>
                    <xdr:col>10</xdr:col>
                    <xdr:colOff>717550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7" name="Option Button 10">
              <controlPr defaultSize="0" autoFill="0" autoLine="0" autoPict="0">
                <anchor moveWithCells="1" sizeWithCells="1">
                  <from>
                    <xdr:col>10</xdr:col>
                    <xdr:colOff>717550</xdr:colOff>
                    <xdr:row>15</xdr:row>
                    <xdr:rowOff>342900</xdr:rowOff>
                  </from>
                  <to>
                    <xdr:col>10</xdr:col>
                    <xdr:colOff>717550</xdr:colOff>
                    <xdr:row>15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8" name="Option Button 11">
              <controlPr defaultSize="0" autoFill="0" autoLine="0" autoPict="0">
                <anchor moveWithCells="1" sizeWithCells="1">
                  <from>
                    <xdr:col>10</xdr:col>
                    <xdr:colOff>717550</xdr:colOff>
                    <xdr:row>15</xdr:row>
                    <xdr:rowOff>361950</xdr:rowOff>
                  </from>
                  <to>
                    <xdr:col>10</xdr:col>
                    <xdr:colOff>717550</xdr:colOff>
                    <xdr:row>15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9" name="Option Button 12">
              <controlPr defaultSize="0" autoFill="0" autoLine="0" autoPict="0">
                <anchor moveWithCells="1" sizeWithCells="1">
                  <from>
                    <xdr:col>7</xdr:col>
                    <xdr:colOff>44450</xdr:colOff>
                    <xdr:row>5</xdr:row>
                    <xdr:rowOff>101600</xdr:rowOff>
                  </from>
                  <to>
                    <xdr:col>7</xdr:col>
                    <xdr:colOff>44450</xdr:colOff>
                    <xdr:row>5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8762-D96F-48FD-93DD-54B289ECF502}">
  <dimension ref="A2:BF28"/>
  <sheetViews>
    <sheetView topLeftCell="BG1" workbookViewId="0">
      <selection activeCell="BI18" sqref="BI18"/>
    </sheetView>
  </sheetViews>
  <sheetFormatPr defaultColWidth="9.08984375" defaultRowHeight="14.5" x14ac:dyDescent="0.35"/>
  <cols>
    <col min="1" max="1" width="28.08984375" style="34" hidden="1" customWidth="1"/>
    <col min="2" max="2" width="13" style="34" hidden="1" customWidth="1"/>
    <col min="3" max="3" width="7.453125" style="34" hidden="1" customWidth="1"/>
    <col min="4" max="4" width="9.08984375" style="34" hidden="1" customWidth="1"/>
    <col min="5" max="5" width="8.453125" style="34" hidden="1" customWidth="1"/>
    <col min="6" max="7" width="9" style="34" hidden="1" customWidth="1"/>
    <col min="8" max="8" width="7.453125" style="34" hidden="1" customWidth="1"/>
    <col min="9" max="9" width="8.6328125" style="34" hidden="1" customWidth="1"/>
    <col min="10" max="10" width="8.54296875" style="34" hidden="1" customWidth="1"/>
    <col min="11" max="11" width="8.6328125" style="34" hidden="1" customWidth="1"/>
    <col min="12" max="19" width="9.453125" style="34" hidden="1" customWidth="1"/>
    <col min="20" max="30" width="9" style="34" hidden="1" customWidth="1"/>
    <col min="31" max="32" width="9.36328125" style="34" hidden="1" customWidth="1"/>
    <col min="33" max="33" width="9" style="34" hidden="1" customWidth="1"/>
    <col min="34" max="34" width="9.453125" style="34" hidden="1" customWidth="1"/>
    <col min="35" max="35" width="9" style="34" hidden="1" customWidth="1"/>
    <col min="36" max="36" width="9.36328125" style="34" hidden="1" customWidth="1"/>
    <col min="37" max="40" width="9" style="34" hidden="1" customWidth="1"/>
    <col min="41" max="41" width="9.08984375" style="34" hidden="1" customWidth="1"/>
    <col min="42" max="49" width="9" style="34" hidden="1" customWidth="1"/>
    <col min="50" max="50" width="7.08984375" style="34" hidden="1" customWidth="1"/>
    <col min="51" max="51" width="9.36328125" style="34" hidden="1" customWidth="1"/>
    <col min="52" max="52" width="7.453125" style="34" hidden="1" customWidth="1"/>
    <col min="53" max="53" width="8.08984375" style="34" hidden="1" customWidth="1"/>
    <col min="54" max="54" width="9" style="34" hidden="1" customWidth="1"/>
    <col min="55" max="55" width="8.54296875" style="34" hidden="1" customWidth="1"/>
    <col min="56" max="56" width="8.90625" style="34" hidden="1" customWidth="1"/>
    <col min="57" max="57" width="9" style="34" hidden="1" customWidth="1"/>
    <col min="58" max="58" width="8.90625" style="34" hidden="1" customWidth="1"/>
    <col min="59" max="16384" width="9.08984375" style="34"/>
  </cols>
  <sheetData>
    <row r="2" spans="1:58" s="37" customFormat="1" ht="12" x14ac:dyDescent="0.35">
      <c r="A2" s="36" t="s">
        <v>255</v>
      </c>
      <c r="B2" s="36" t="s">
        <v>257</v>
      </c>
    </row>
    <row r="3" spans="1:58" s="37" customFormat="1" ht="60" x14ac:dyDescent="0.35">
      <c r="A3" s="36" t="s">
        <v>258</v>
      </c>
      <c r="B3" s="37" t="s">
        <v>205</v>
      </c>
      <c r="C3" s="37" t="s">
        <v>99</v>
      </c>
      <c r="D3" s="37" t="s">
        <v>148</v>
      </c>
      <c r="E3" s="37" t="s">
        <v>54</v>
      </c>
      <c r="F3" s="37" t="s">
        <v>190</v>
      </c>
      <c r="G3" s="37" t="s">
        <v>163</v>
      </c>
      <c r="H3" s="37" t="s">
        <v>103</v>
      </c>
      <c r="I3" s="37" t="s">
        <v>164</v>
      </c>
      <c r="J3" s="37" t="s">
        <v>108</v>
      </c>
      <c r="K3" s="37" t="s">
        <v>63</v>
      </c>
      <c r="L3" s="37" t="s">
        <v>119</v>
      </c>
      <c r="M3" s="37" t="s">
        <v>45</v>
      </c>
      <c r="N3" s="37" t="s">
        <v>136</v>
      </c>
      <c r="O3" s="37" t="s">
        <v>58</v>
      </c>
      <c r="P3" s="37" t="s">
        <v>160</v>
      </c>
      <c r="Q3" s="37" t="s">
        <v>96</v>
      </c>
      <c r="R3" s="37" t="s">
        <v>183</v>
      </c>
      <c r="S3" s="37" t="s">
        <v>122</v>
      </c>
      <c r="T3" s="37" t="s">
        <v>149</v>
      </c>
      <c r="U3" s="37" t="s">
        <v>117</v>
      </c>
      <c r="V3" s="37" t="s">
        <v>185</v>
      </c>
      <c r="W3" s="37" t="s">
        <v>49</v>
      </c>
      <c r="X3" s="37" t="s">
        <v>36</v>
      </c>
      <c r="Y3" s="37" t="s">
        <v>48</v>
      </c>
      <c r="Z3" s="37" t="s">
        <v>120</v>
      </c>
      <c r="AA3" s="37" t="s">
        <v>187</v>
      </c>
      <c r="AB3" s="37" t="s">
        <v>155</v>
      </c>
      <c r="AC3" s="37" t="s">
        <v>107</v>
      </c>
      <c r="AD3" s="37" t="s">
        <v>139</v>
      </c>
      <c r="AE3" s="37" t="s">
        <v>126</v>
      </c>
      <c r="AF3" s="37" t="s">
        <v>105</v>
      </c>
      <c r="AG3" s="37" t="s">
        <v>115</v>
      </c>
      <c r="AH3" s="37" t="s">
        <v>151</v>
      </c>
      <c r="AI3" s="37" t="s">
        <v>142</v>
      </c>
      <c r="AJ3" s="37" t="s">
        <v>154</v>
      </c>
      <c r="AK3" s="37" t="s">
        <v>178</v>
      </c>
      <c r="AL3" s="37" t="s">
        <v>66</v>
      </c>
      <c r="AM3" s="37" t="s">
        <v>88</v>
      </c>
      <c r="AN3" s="37" t="s">
        <v>56</v>
      </c>
      <c r="AO3" s="37" t="s">
        <v>128</v>
      </c>
      <c r="AP3" s="37" t="s">
        <v>208</v>
      </c>
      <c r="AQ3" s="37" t="s">
        <v>153</v>
      </c>
      <c r="AR3" s="37" t="s">
        <v>94</v>
      </c>
      <c r="AS3" s="37" t="s">
        <v>104</v>
      </c>
      <c r="AT3" s="37" t="s">
        <v>65</v>
      </c>
      <c r="AU3" s="37" t="s">
        <v>137</v>
      </c>
      <c r="AV3" s="37" t="s">
        <v>71</v>
      </c>
      <c r="AW3" s="37" t="s">
        <v>165</v>
      </c>
      <c r="AX3" s="37" t="s">
        <v>40</v>
      </c>
      <c r="AY3" s="37" t="s">
        <v>209</v>
      </c>
      <c r="AZ3" s="37" t="s">
        <v>82</v>
      </c>
      <c r="BA3" s="37" t="s">
        <v>29</v>
      </c>
      <c r="BB3" s="37" t="s">
        <v>132</v>
      </c>
      <c r="BC3" s="37" t="s">
        <v>106</v>
      </c>
      <c r="BD3" s="37" t="s">
        <v>97</v>
      </c>
      <c r="BE3" s="37" t="s">
        <v>42</v>
      </c>
      <c r="BF3" s="37" t="s">
        <v>256</v>
      </c>
    </row>
    <row r="4" spans="1:58" x14ac:dyDescent="0.35">
      <c r="A4" s="35" t="s">
        <v>177</v>
      </c>
      <c r="C4" s="34">
        <v>12</v>
      </c>
      <c r="D4" s="34">
        <v>1.8</v>
      </c>
      <c r="F4" s="34">
        <v>30</v>
      </c>
      <c r="J4" s="34">
        <v>9</v>
      </c>
      <c r="M4" s="34">
        <v>1.8</v>
      </c>
      <c r="Q4" s="34">
        <v>1.8</v>
      </c>
      <c r="R4" s="34">
        <v>1.8</v>
      </c>
      <c r="U4" s="34">
        <v>15</v>
      </c>
      <c r="V4" s="34">
        <v>30</v>
      </c>
      <c r="W4" s="34">
        <v>81</v>
      </c>
      <c r="X4" s="34">
        <v>30</v>
      </c>
      <c r="AA4" s="34">
        <v>15</v>
      </c>
      <c r="AK4" s="34">
        <v>4.5</v>
      </c>
      <c r="AL4" s="34">
        <v>1.8</v>
      </c>
      <c r="BA4" s="34">
        <v>5.4</v>
      </c>
      <c r="BE4" s="34">
        <v>0.60000000000000009</v>
      </c>
      <c r="BF4" s="34">
        <v>241.5</v>
      </c>
    </row>
    <row r="5" spans="1:58" x14ac:dyDescent="0.35">
      <c r="A5" s="35" t="s">
        <v>27</v>
      </c>
      <c r="E5" s="34">
        <v>9</v>
      </c>
      <c r="M5" s="34">
        <v>1.8</v>
      </c>
      <c r="O5" s="34">
        <v>9</v>
      </c>
      <c r="W5" s="34">
        <v>117</v>
      </c>
      <c r="X5" s="34">
        <v>21</v>
      </c>
      <c r="Y5" s="34">
        <v>6</v>
      </c>
      <c r="AN5" s="34">
        <v>3</v>
      </c>
      <c r="AX5" s="34">
        <v>3.3</v>
      </c>
      <c r="BA5" s="34">
        <v>6.3</v>
      </c>
      <c r="BE5" s="34">
        <v>11.7</v>
      </c>
      <c r="BF5" s="34">
        <v>188.10000000000002</v>
      </c>
    </row>
    <row r="6" spans="1:58" x14ac:dyDescent="0.35">
      <c r="A6" s="35" t="s">
        <v>158</v>
      </c>
      <c r="C6" s="34">
        <v>45</v>
      </c>
      <c r="E6" s="34">
        <v>30</v>
      </c>
      <c r="M6" s="34">
        <v>1.8</v>
      </c>
      <c r="P6" s="34">
        <v>0.9</v>
      </c>
      <c r="U6" s="34">
        <v>6</v>
      </c>
      <c r="W6" s="34">
        <v>54</v>
      </c>
      <c r="AV6" s="34">
        <v>1.8</v>
      </c>
      <c r="AX6" s="34">
        <v>3.6</v>
      </c>
      <c r="BA6" s="34">
        <v>0.60000000000000009</v>
      </c>
      <c r="BE6" s="34">
        <v>0.60000000000000009</v>
      </c>
      <c r="BF6" s="34">
        <v>144.29999999999998</v>
      </c>
    </row>
    <row r="7" spans="1:58" x14ac:dyDescent="0.35">
      <c r="A7" s="35" t="s">
        <v>81</v>
      </c>
      <c r="B7" s="34">
        <v>1.8</v>
      </c>
      <c r="C7" s="34">
        <v>54</v>
      </c>
      <c r="AM7" s="34">
        <v>0.60000000000000009</v>
      </c>
      <c r="AP7" s="34">
        <v>6</v>
      </c>
      <c r="AZ7" s="34">
        <v>6</v>
      </c>
      <c r="BF7" s="34">
        <v>68.400000000000006</v>
      </c>
    </row>
    <row r="8" spans="1:58" x14ac:dyDescent="0.35">
      <c r="A8" s="35" t="s">
        <v>101</v>
      </c>
      <c r="C8" s="34">
        <v>3.6</v>
      </c>
      <c r="E8" s="34">
        <v>6</v>
      </c>
      <c r="H8" s="34">
        <v>9.6</v>
      </c>
      <c r="J8" s="34">
        <v>1.8</v>
      </c>
      <c r="U8" s="34">
        <v>3</v>
      </c>
      <c r="AC8" s="34">
        <v>1.2000000000000002</v>
      </c>
      <c r="AF8" s="34">
        <v>1.8</v>
      </c>
      <c r="AG8" s="34">
        <v>6</v>
      </c>
      <c r="AL8" s="34">
        <v>0.60000000000000009</v>
      </c>
      <c r="AS8" s="34">
        <v>1.8000000000000003</v>
      </c>
      <c r="AT8" s="34">
        <v>10.199999999999999</v>
      </c>
      <c r="AV8" s="34">
        <v>5.4</v>
      </c>
      <c r="BC8" s="34">
        <v>6</v>
      </c>
      <c r="BD8" s="34">
        <v>6</v>
      </c>
      <c r="BF8" s="34">
        <v>62.999999999999993</v>
      </c>
    </row>
    <row r="9" spans="1:58" x14ac:dyDescent="0.35">
      <c r="A9" s="35" t="s">
        <v>140</v>
      </c>
      <c r="C9" s="34">
        <v>1.8</v>
      </c>
      <c r="D9" s="34">
        <v>3</v>
      </c>
      <c r="J9" s="34">
        <v>9</v>
      </c>
      <c r="K9" s="34">
        <v>1.2000000000000002</v>
      </c>
      <c r="T9" s="34">
        <v>3</v>
      </c>
      <c r="U9" s="34">
        <v>1.2000000000000002</v>
      </c>
      <c r="AB9" s="34">
        <v>0.60000000000000009</v>
      </c>
      <c r="AH9" s="34">
        <v>0.60000000000000009</v>
      </c>
      <c r="AI9" s="34">
        <v>8.4</v>
      </c>
      <c r="AJ9" s="34">
        <v>3.6</v>
      </c>
      <c r="AL9" s="34">
        <v>1.2000000000000002</v>
      </c>
      <c r="AQ9" s="34">
        <v>0.60000000000000009</v>
      </c>
      <c r="BA9" s="34">
        <v>1.2000000000000002</v>
      </c>
      <c r="BE9" s="34">
        <v>7.2</v>
      </c>
      <c r="BF9" s="34">
        <v>42.600000000000016</v>
      </c>
    </row>
    <row r="10" spans="1:58" x14ac:dyDescent="0.35">
      <c r="A10" s="35" t="s">
        <v>129</v>
      </c>
      <c r="K10" s="34">
        <v>3</v>
      </c>
      <c r="N10" s="34">
        <v>3</v>
      </c>
      <c r="U10" s="34">
        <v>9</v>
      </c>
      <c r="AC10" s="34">
        <v>9</v>
      </c>
      <c r="AU10" s="34">
        <v>9</v>
      </c>
      <c r="BB10" s="34">
        <v>3.6</v>
      </c>
      <c r="BE10" s="34">
        <v>6</v>
      </c>
      <c r="BF10" s="34">
        <v>42.6</v>
      </c>
    </row>
    <row r="11" spans="1:58" x14ac:dyDescent="0.35">
      <c r="A11" s="35" t="s">
        <v>123</v>
      </c>
      <c r="C11" s="34">
        <v>3.6</v>
      </c>
      <c r="E11" s="34">
        <v>1.8</v>
      </c>
      <c r="J11" s="34">
        <v>3.6</v>
      </c>
      <c r="AC11" s="34">
        <v>10.200000000000001</v>
      </c>
      <c r="AE11" s="34">
        <v>3.6</v>
      </c>
      <c r="AL11" s="34">
        <v>1.8</v>
      </c>
      <c r="AO11" s="34">
        <v>1.8</v>
      </c>
      <c r="AR11" s="34">
        <v>2.4000000000000004</v>
      </c>
      <c r="BC11" s="34">
        <v>4.8000000000000007</v>
      </c>
      <c r="BF11" s="34">
        <v>33.600000000000009</v>
      </c>
    </row>
    <row r="12" spans="1:58" x14ac:dyDescent="0.35">
      <c r="A12" s="35" t="s">
        <v>93</v>
      </c>
      <c r="C12" s="34">
        <v>3.6</v>
      </c>
      <c r="E12" s="34">
        <v>6</v>
      </c>
      <c r="Q12" s="34">
        <v>1.8</v>
      </c>
      <c r="AR12" s="34">
        <v>1.8</v>
      </c>
      <c r="AV12" s="34">
        <v>1.8</v>
      </c>
      <c r="BD12" s="34">
        <v>15</v>
      </c>
      <c r="BE12" s="34">
        <v>3</v>
      </c>
      <c r="BF12" s="34">
        <v>33</v>
      </c>
    </row>
    <row r="13" spans="1:58" x14ac:dyDescent="0.35">
      <c r="A13" s="35" t="s">
        <v>60</v>
      </c>
      <c r="K13" s="34">
        <v>6</v>
      </c>
      <c r="AL13" s="34">
        <v>3</v>
      </c>
      <c r="AT13" s="34">
        <v>3</v>
      </c>
      <c r="AV13" s="34">
        <v>15</v>
      </c>
      <c r="BE13" s="34">
        <v>4.5</v>
      </c>
      <c r="BF13" s="34">
        <v>31.5</v>
      </c>
    </row>
    <row r="14" spans="1:58" x14ac:dyDescent="0.35">
      <c r="A14" s="35" t="s">
        <v>176</v>
      </c>
      <c r="D14" s="34">
        <v>3</v>
      </c>
      <c r="T14" s="34">
        <v>0.60000000000000009</v>
      </c>
      <c r="U14" s="34">
        <v>18</v>
      </c>
      <c r="AY14" s="34">
        <v>9</v>
      </c>
      <c r="BF14" s="34">
        <v>30.6</v>
      </c>
    </row>
    <row r="15" spans="1:58" x14ac:dyDescent="0.35">
      <c r="A15" s="35" t="s">
        <v>184</v>
      </c>
      <c r="X15" s="34">
        <v>30</v>
      </c>
      <c r="BF15" s="34">
        <v>30</v>
      </c>
    </row>
    <row r="16" spans="1:58" x14ac:dyDescent="0.35">
      <c r="A16" s="35" t="s">
        <v>72</v>
      </c>
      <c r="K16" s="34">
        <v>3</v>
      </c>
      <c r="BA16" s="34">
        <v>15</v>
      </c>
      <c r="BF16" s="34">
        <v>18</v>
      </c>
    </row>
    <row r="17" spans="1:58" x14ac:dyDescent="0.35">
      <c r="A17" s="35" t="s">
        <v>138</v>
      </c>
      <c r="E17" s="34">
        <v>6</v>
      </c>
      <c r="O17" s="34">
        <v>1.8</v>
      </c>
      <c r="AD17" s="34">
        <v>3.6</v>
      </c>
      <c r="AR17" s="34">
        <v>3.6</v>
      </c>
      <c r="BF17" s="34">
        <v>15</v>
      </c>
    </row>
    <row r="18" spans="1:58" x14ac:dyDescent="0.35">
      <c r="A18" s="35" t="s">
        <v>118</v>
      </c>
      <c r="J18" s="34">
        <v>4.8000000000000007</v>
      </c>
      <c r="L18" s="34">
        <v>1.8</v>
      </c>
      <c r="M18" s="34">
        <v>1.8</v>
      </c>
      <c r="S18" s="34">
        <v>0.60000000000000009</v>
      </c>
      <c r="Z18" s="34">
        <v>1.8</v>
      </c>
      <c r="AV18" s="34">
        <v>1.8</v>
      </c>
      <c r="BF18" s="34">
        <v>12.600000000000001</v>
      </c>
    </row>
    <row r="19" spans="1:58" x14ac:dyDescent="0.35">
      <c r="A19" s="35" t="s">
        <v>161</v>
      </c>
      <c r="G19" s="34">
        <v>3</v>
      </c>
      <c r="I19" s="34">
        <v>3</v>
      </c>
      <c r="O19" s="34">
        <v>1.8</v>
      </c>
      <c r="AD19" s="34">
        <v>3</v>
      </c>
      <c r="AW19" s="34">
        <v>1.8</v>
      </c>
      <c r="BF19" s="34">
        <v>12.600000000000001</v>
      </c>
    </row>
    <row r="20" spans="1:58" x14ac:dyDescent="0.35">
      <c r="A20" s="35" t="s">
        <v>173</v>
      </c>
      <c r="T20" s="34">
        <v>9</v>
      </c>
      <c r="BF20" s="34">
        <v>9</v>
      </c>
    </row>
    <row r="21" spans="1:58" x14ac:dyDescent="0.35">
      <c r="A21" s="35" t="s">
        <v>259</v>
      </c>
      <c r="K21" s="34">
        <v>0.60000000000000009</v>
      </c>
      <c r="AL21" s="34">
        <v>1.2000000000000002</v>
      </c>
      <c r="AT21" s="34">
        <v>3.6</v>
      </c>
      <c r="AV21" s="34">
        <v>1.8</v>
      </c>
      <c r="BA21" s="34">
        <v>0.60000000000000009</v>
      </c>
      <c r="BE21" s="34">
        <v>0.60000000000000009</v>
      </c>
      <c r="BF21" s="34">
        <v>8.4</v>
      </c>
    </row>
    <row r="22" spans="1:58" x14ac:dyDescent="0.35">
      <c r="A22" s="35" t="s">
        <v>171</v>
      </c>
      <c r="H22" s="34">
        <v>3.6</v>
      </c>
      <c r="AG22" s="34">
        <v>1.8</v>
      </c>
      <c r="AV22" s="34">
        <v>1.8</v>
      </c>
      <c r="BF22" s="34">
        <v>7.2</v>
      </c>
    </row>
    <row r="23" spans="1:58" x14ac:dyDescent="0.35">
      <c r="A23" s="35" t="s">
        <v>166</v>
      </c>
      <c r="Z23" s="34">
        <v>1.8</v>
      </c>
      <c r="AE23" s="34">
        <v>1.8</v>
      </c>
      <c r="AN23" s="34">
        <v>3</v>
      </c>
      <c r="BF23" s="34">
        <v>6.6</v>
      </c>
    </row>
    <row r="24" spans="1:58" x14ac:dyDescent="0.35">
      <c r="A24" s="35" t="s">
        <v>170</v>
      </c>
      <c r="J24" s="34">
        <v>1.8</v>
      </c>
      <c r="AL24" s="34">
        <v>1.2000000000000002</v>
      </c>
      <c r="AS24" s="34">
        <v>0.30000000000000004</v>
      </c>
      <c r="AT24" s="34">
        <v>1.8</v>
      </c>
      <c r="BE24" s="34">
        <v>0.60000000000000009</v>
      </c>
      <c r="BF24" s="34">
        <v>5.6999999999999993</v>
      </c>
    </row>
    <row r="25" spans="1:58" x14ac:dyDescent="0.35">
      <c r="A25" s="35" t="s">
        <v>92</v>
      </c>
      <c r="Y25" s="34">
        <v>0.60000000000000009</v>
      </c>
      <c r="AT25" s="34">
        <v>4.8</v>
      </c>
      <c r="BF25" s="34">
        <v>5.4</v>
      </c>
    </row>
    <row r="26" spans="1:58" x14ac:dyDescent="0.35">
      <c r="A26" s="35" t="s">
        <v>156</v>
      </c>
      <c r="AT26" s="34">
        <v>0.60000000000000009</v>
      </c>
      <c r="BB26" s="34">
        <v>0.60000000000000009</v>
      </c>
      <c r="BF26" s="34">
        <v>1.2000000000000002</v>
      </c>
    </row>
    <row r="27" spans="1:58" x14ac:dyDescent="0.35">
      <c r="A27" s="35" t="s">
        <v>260</v>
      </c>
      <c r="AS27" s="34">
        <v>0.60000000000000009</v>
      </c>
      <c r="BE27" s="34">
        <v>0.60000000000000009</v>
      </c>
      <c r="BF27" s="34">
        <v>1.2000000000000002</v>
      </c>
    </row>
    <row r="28" spans="1:58" x14ac:dyDescent="0.35">
      <c r="A28" s="35" t="s">
        <v>256</v>
      </c>
      <c r="B28" s="34">
        <v>1.8</v>
      </c>
      <c r="C28" s="34">
        <v>123.6</v>
      </c>
      <c r="D28" s="34">
        <v>7.8</v>
      </c>
      <c r="E28" s="34">
        <v>58.8</v>
      </c>
      <c r="F28" s="34">
        <v>30</v>
      </c>
      <c r="G28" s="34">
        <v>3</v>
      </c>
      <c r="H28" s="34">
        <v>13.2</v>
      </c>
      <c r="I28" s="34">
        <v>3</v>
      </c>
      <c r="J28" s="34">
        <v>30.000000000000004</v>
      </c>
      <c r="K28" s="34">
        <v>13.8</v>
      </c>
      <c r="L28" s="34">
        <v>1.8</v>
      </c>
      <c r="M28" s="34">
        <v>7.2</v>
      </c>
      <c r="N28" s="34">
        <v>3</v>
      </c>
      <c r="O28" s="34">
        <v>12.600000000000001</v>
      </c>
      <c r="P28" s="34">
        <v>0.9</v>
      </c>
      <c r="Q28" s="34">
        <v>3.6</v>
      </c>
      <c r="R28" s="34">
        <v>1.8</v>
      </c>
      <c r="S28" s="34">
        <v>0.60000000000000009</v>
      </c>
      <c r="T28" s="34">
        <v>12.6</v>
      </c>
      <c r="U28" s="34">
        <v>52.2</v>
      </c>
      <c r="V28" s="34">
        <v>30</v>
      </c>
      <c r="W28" s="34">
        <v>252</v>
      </c>
      <c r="X28" s="34">
        <v>81</v>
      </c>
      <c r="Y28" s="34">
        <v>6.6</v>
      </c>
      <c r="Z28" s="34">
        <v>3.6</v>
      </c>
      <c r="AA28" s="34">
        <v>15</v>
      </c>
      <c r="AB28" s="34">
        <v>0.60000000000000009</v>
      </c>
      <c r="AC28" s="34">
        <v>20.400000000000002</v>
      </c>
      <c r="AD28" s="34">
        <v>6.6</v>
      </c>
      <c r="AE28" s="34">
        <v>5.4</v>
      </c>
      <c r="AF28" s="34">
        <v>1.8</v>
      </c>
      <c r="AG28" s="34">
        <v>7.8</v>
      </c>
      <c r="AH28" s="34">
        <v>0.60000000000000009</v>
      </c>
      <c r="AI28" s="34">
        <v>8.4</v>
      </c>
      <c r="AJ28" s="34">
        <v>3.6</v>
      </c>
      <c r="AK28" s="34">
        <v>4.5</v>
      </c>
      <c r="AL28" s="34">
        <v>10.8</v>
      </c>
      <c r="AM28" s="34">
        <v>0.60000000000000009</v>
      </c>
      <c r="AN28" s="34">
        <v>6</v>
      </c>
      <c r="AO28" s="34">
        <v>1.8</v>
      </c>
      <c r="AP28" s="34">
        <v>6</v>
      </c>
      <c r="AQ28" s="34">
        <v>0.60000000000000009</v>
      </c>
      <c r="AR28" s="34">
        <v>7.8000000000000007</v>
      </c>
      <c r="AS28" s="34">
        <v>2.7</v>
      </c>
      <c r="AT28" s="34">
        <v>24</v>
      </c>
      <c r="AU28" s="34">
        <v>9</v>
      </c>
      <c r="AV28" s="34">
        <v>29.400000000000002</v>
      </c>
      <c r="AW28" s="34">
        <v>1.8</v>
      </c>
      <c r="AX28" s="34">
        <v>6.9</v>
      </c>
      <c r="AY28" s="34">
        <v>9</v>
      </c>
      <c r="AZ28" s="34">
        <v>6</v>
      </c>
      <c r="BA28" s="34">
        <v>29.1</v>
      </c>
      <c r="BB28" s="34">
        <v>4.2</v>
      </c>
      <c r="BC28" s="34">
        <v>10.8</v>
      </c>
      <c r="BD28" s="34">
        <v>21</v>
      </c>
      <c r="BE28" s="34">
        <v>35.400000000000006</v>
      </c>
      <c r="BF28" s="34">
        <v>1052.1000000000004</v>
      </c>
    </row>
  </sheetData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2BFCF64D1C04C948EADC7117BD565" ma:contentTypeVersion="14" ma:contentTypeDescription="Create a new document." ma:contentTypeScope="" ma:versionID="82f375a38ac9f08b9d36bdbff7da9efc">
  <xsd:schema xmlns:xsd="http://www.w3.org/2001/XMLSchema" xmlns:xs="http://www.w3.org/2001/XMLSchema" xmlns:p="http://schemas.microsoft.com/office/2006/metadata/properties" xmlns:ns3="ee15a44e-0948-420d-96df-d16ce70ffded" xmlns:ns4="c2ab043e-5349-4be1-b825-26dcb4f203ad" targetNamespace="http://schemas.microsoft.com/office/2006/metadata/properties" ma:root="true" ma:fieldsID="4293cbf5174013a286dfb95f58a4c27e" ns3:_="" ns4:_="">
    <xsd:import namespace="ee15a44e-0948-420d-96df-d16ce70ffded"/>
    <xsd:import namespace="c2ab043e-5349-4be1-b825-26dcb4f203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5a44e-0948-420d-96df-d16ce70ff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b043e-5349-4be1-b825-26dcb4f203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15a44e-0948-420d-96df-d16ce70ffded" xsi:nil="true"/>
  </documentManagement>
</p:properties>
</file>

<file path=customXml/itemProps1.xml><?xml version="1.0" encoding="utf-8"?>
<ds:datastoreItem xmlns:ds="http://schemas.openxmlformats.org/officeDocument/2006/customXml" ds:itemID="{C0E5FD1C-EF1E-4F26-BD36-097DD398C6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15a44e-0948-420d-96df-d16ce70ffded"/>
    <ds:schemaRef ds:uri="c2ab043e-5349-4be1-b825-26dcb4f203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14A1C-5FB1-4FE4-BBAD-C2D265A186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D52C5A-C1F0-4A58-ABE1-434C0069F4B0}">
  <ds:schemaRefs>
    <ds:schemaRef ds:uri="ee15a44e-0948-420d-96df-d16ce70ffded"/>
    <ds:schemaRef ds:uri="http://purl.org/dc/terms/"/>
    <ds:schemaRef ds:uri="http://schemas.openxmlformats.org/package/2006/metadata/core-properties"/>
    <ds:schemaRef ds:uri="c2ab043e-5349-4be1-b825-26dcb4f203ad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LAIA</vt:lpstr>
      <vt:lpstr>Risk assessment table</vt:lpstr>
      <vt:lpstr>Significância-processo-aspecto</vt:lpstr>
      <vt:lpstr>LAIA!Area_de_impressao</vt:lpstr>
      <vt:lpstr>'Risk assessment table'!Area_de_impressao</vt:lpstr>
    </vt:vector>
  </TitlesOfParts>
  <Manager/>
  <Company>DEMB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ID10 - Milieuaspectenanalyse CRU (24102016)</dc:title>
  <dc:subject/>
  <dc:creator>Martijn Schmit</dc:creator>
  <cp:keywords/>
  <dc:description/>
  <cp:lastModifiedBy>Camargo, Samuel</cp:lastModifiedBy>
  <cp:revision/>
  <cp:lastPrinted>2026-10-14T20:30:46Z</cp:lastPrinted>
  <dcterms:created xsi:type="dcterms:W3CDTF">2015-09-16T06:51:07Z</dcterms:created>
  <dcterms:modified xsi:type="dcterms:W3CDTF">2026-10-27T18:02:54Z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0x010100AF82BFCF64D1C04C948EADC7117BD565</vt:lpwstr>
  </property>
  <property fmtid="{D5CDD505-2E9C-101B-9397-08002B2CF9AE}" pid="3" name="Functionalarea">
    <vt:lpwstr>14;#Operations ＆ Supply Chain|2fd0d787-aec5-45a9-92a4-8d5bbf7a9672</vt:lpwstr>
  </property>
  <property fmtid="{D5CDD505-2E9C-101B-9397-08002B2CF9AE}" pid="4" name="TaxKeyword">
    <vt:lpwstr/>
  </property>
  <property fmtid="{D5CDD505-2E9C-101B-9397-08002B2CF9AE}" pid="5" name="Country">
    <vt:lpwstr>19;#Netherlands|46f1647b-6df0-4c1f-a870-21dc33e046c8</vt:lpwstr>
  </property>
  <property fmtid="{D5CDD505-2E9C-101B-9397-08002B2CF9AE}" pid="6" name="Languages">
    <vt:lpwstr>15;#Dutch|ce88a3f1-da8d-4d89-8d00-a4673d2e9ccf</vt:lpwstr>
  </property>
  <property fmtid="{D5CDD505-2E9C-101B-9397-08002B2CF9AE}" pid="7" name="MSIP_Label_6fd6a3f1-13ee-4193-aae5-4c5d46d7a876_Enabled">
    <vt:lpwstr>True</vt:lpwstr>
  </property>
  <property fmtid="{D5CDD505-2E9C-101B-9397-08002B2CF9AE}" pid="8" name="MSIP_Label_6fd6a3f1-13ee-4193-aae5-4c5d46d7a876_SiteId">
    <vt:lpwstr>22d30701-ec5e-4bdc-ba4f-b9234053b0a9</vt:lpwstr>
  </property>
  <property fmtid="{D5CDD505-2E9C-101B-9397-08002B2CF9AE}" pid="9" name="MSIP_Label_6fd6a3f1-13ee-4193-aae5-4c5d46d7a876_Owner">
    <vt:lpwstr>ila.nascimento@jdecoffee.com</vt:lpwstr>
  </property>
  <property fmtid="{D5CDD505-2E9C-101B-9397-08002B2CF9AE}" pid="10" name="MSIP_Label_6fd6a3f1-13ee-4193-aae5-4c5d46d7a876_SetDate">
    <vt:lpwstr>2020-09-23T03:08:07.2864848Z</vt:lpwstr>
  </property>
  <property fmtid="{D5CDD505-2E9C-101B-9397-08002B2CF9AE}" pid="11" name="MSIP_Label_6fd6a3f1-13ee-4193-aae5-4c5d46d7a876_Name">
    <vt:lpwstr>Confidential</vt:lpwstr>
  </property>
  <property fmtid="{D5CDD505-2E9C-101B-9397-08002B2CF9AE}" pid="12" name="MSIP_Label_6fd6a3f1-13ee-4193-aae5-4c5d46d7a876_Application">
    <vt:lpwstr>Microsoft Azure Information Protection</vt:lpwstr>
  </property>
  <property fmtid="{D5CDD505-2E9C-101B-9397-08002B2CF9AE}" pid="13" name="MSIP_Label_6fd6a3f1-13ee-4193-aae5-4c5d46d7a876_Extended_MSFT_Method">
    <vt:lpwstr>Automatic</vt:lpwstr>
  </property>
  <property fmtid="{D5CDD505-2E9C-101B-9397-08002B2CF9AE}" pid="14" name="Sensitivity">
    <vt:lpwstr>Confidential</vt:lpwstr>
  </property>
  <property fmtid="{D5CDD505-2E9C-101B-9397-08002B2CF9AE}" pid="15" name="Order">
    <vt:r8>4886000</vt:r8>
  </property>
</Properties>
</file>